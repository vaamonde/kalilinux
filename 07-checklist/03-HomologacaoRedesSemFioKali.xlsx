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 e Instruções" sheetId="1" state="visible" r:id="rId3"/>
    <sheet name="Dashboard" sheetId="2" state="visible" r:id="rId4"/>
    <sheet name="Inventário" sheetId="3" state="visible" r:id="rId5"/>
    <sheet name="Checklist Config (Aulas 01-05)" sheetId="4" state="visible" r:id="rId6"/>
    <sheet name="Baseline Wireless" sheetId="5" state="visible" r:id="rId7"/>
    <sheet name="Ataques - Resultados" sheetId="6" state="visible" r:id="rId8"/>
    <sheet name="Não Conformidad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<sst xmlns="http://schemas.openxmlformats.org/spreadsheetml/2006/main" count="1307" uniqueCount="159">
  <si>
    <t xml:space="preserve">📡 Homologação de Documentação — Redes Sem-Fio / Kali Linux</t>
  </si>
  <si>
    <t xml:space="preserve">Planilha de acompanhamento da aplicação prática dos procedimentos (Aulas 01-09) com equipamentos reais</t>
  </si>
  <si>
    <t xml:space="preserve">Curso / Turma:</t>
  </si>
  <si>
    <t xml:space="preserve">Instrutor responsável:</t>
  </si>
  <si>
    <t xml:space="preserve">Data de início da homologação:</t>
  </si>
  <si>
    <t xml:space="preserve">Versão da documentação avaliada:</t>
  </si>
  <si>
    <t xml:space="preserve">Como usar esta planilha</t>
  </si>
  <si>
    <t xml:space="preserve">1. Aba 'Inventário' — cadastre os equipamentos (APs, antenas, notebooks) atribuídos a cada grupo antes da aula.</t>
  </si>
  <si>
    <t xml:space="preserve">2. Aba 'Checklist Config (Aulas 01-05)' — marque o status de cada item de configuração dos Access Points, por grupo.</t>
  </si>
  <si>
    <t xml:space="preserve">3. Aba 'Baseline Wireless' — preencha com os dados coletados na aula de reconhecimento passivo (BSSID, canal, PWR, etc.).</t>
  </si>
  <si>
    <t xml:space="preserve">4. Aba 'Ataques - Resultados' — registre o resultado de cada ataque prático (WEP, WPS, WPA/WPA2, WPA3), por grupo.</t>
  </si>
  <si>
    <t xml:space="preserve">5. Aba 'Dashboard' — visão consolidada com contagens automáticas (não editar; atualiza sozinha a partir das outras abas).</t>
  </si>
  <si>
    <t xml:space="preserve">6. Aba 'Não Conformidades' — registre divergências entre o que está documentado (.md) e o que aconteceu na prática — isso alimenta a próxima revisão dos arquivos.</t>
  </si>
  <si>
    <t xml:space="preserve">Legenda de cores:</t>
  </si>
  <si>
    <t xml:space="preserve">Célula a preencher pelo grupo/instrutor</t>
  </si>
  <si>
    <t xml:space="preserve">Status: OK / concluído</t>
  </si>
  <si>
    <t xml:space="preserve">Status: Pendente / atenção</t>
  </si>
  <si>
    <t xml:space="preserve">Status: Falhou / não conformidade</t>
  </si>
  <si>
    <t xml:space="preserve">Esta planilha acompanha os arquivos .md do repositório (01-accesspoint, 02-installkali, 03-analytics, 04-aircrack-ng, 05-wordlist). Use-a durante a homologação prática para confirmar se cada procedimento descrito funciona como documentado nos equipamentos reais (TP-Link Archer C50(W), EC220-G5 e AX12).</t>
  </si>
  <si>
    <t xml:space="preserve">📊 Dashboard — Visão Consolidada da Homologação</t>
  </si>
  <si>
    <t xml:space="preserve">Atualizado automaticamente a partir das abas 'Checklist Config' e 'Ataques - Resultados'. Não editar manualmente.</t>
  </si>
  <si>
    <t xml:space="preserve">Checklist de Configuração (Aulas 01-05)</t>
  </si>
  <si>
    <t xml:space="preserve">Métrica</t>
  </si>
  <si>
    <t xml:space="preserve">Total</t>
  </si>
  <si>
    <t xml:space="preserve">OK</t>
  </si>
  <si>
    <t xml:space="preserve">Pendente</t>
  </si>
  <si>
    <t xml:space="preserve">Falhou</t>
  </si>
  <si>
    <t xml:space="preserve">% Concluído</t>
  </si>
  <si>
    <t xml:space="preserve">Itens de configuração (todos os grupos)</t>
  </si>
  <si>
    <t xml:space="preserve">Ataques Práticos (Aulas 06-09)</t>
  </si>
  <si>
    <t xml:space="preserve">Testes de ataque (todos os grupos)</t>
  </si>
  <si>
    <t xml:space="preserve">Por Protocolo de Ataque</t>
  </si>
  <si>
    <t xml:space="preserve">Protocolo</t>
  </si>
  <si>
    <t xml:space="preserve">Total testes</t>
  </si>
  <si>
    <t xml:space="preserve">% Sucesso</t>
  </si>
  <si>
    <t xml:space="preserve">WEP</t>
  </si>
  <si>
    <t xml:space="preserve">WPS</t>
  </si>
  <si>
    <t xml:space="preserve">WPA/WPA2-PSK (AES)</t>
  </si>
  <si>
    <t xml:space="preserve">WPA/WPA2-PSK (AES+TKIP)</t>
  </si>
  <si>
    <t xml:space="preserve">WPA3-SAE puro (Cenário A)</t>
  </si>
  <si>
    <t xml:space="preserve">WPA2/WPA3 downgrade (Cenário B)</t>
  </si>
  <si>
    <t xml:space="preserve">Observação: os valores acima são calculados por fórmula (COUNTA/COUNTIF/SUMPRODUCT) a partir das abas 'Checklist Config (Aulas 01-05)' e 'Ataques - Resultados'. Atualize o status nessas abas — o Dashboard recalcula automaticamente.</t>
  </si>
  <si>
    <t xml:space="preserve">📋 Inventário de Equipamentos por Grupo</t>
  </si>
  <si>
    <t xml:space="preserve">Preencher antes do início da aula prática</t>
  </si>
  <si>
    <t xml:space="preserve">Grupo</t>
  </si>
  <si>
    <t xml:space="preserve">Modelo do AP</t>
  </si>
  <si>
    <t xml:space="preserve">Nº patrimônio / etiqueta</t>
  </si>
  <si>
    <t xml:space="preserve">Notebook (hostname)</t>
  </si>
  <si>
    <t xml:space="preserve">Antena externa (modelo/chipset)</t>
  </si>
  <si>
    <t xml:space="preserve">Interface (wlanX)</t>
  </si>
  <si>
    <t xml:space="preserve">Responsável pelo grupo</t>
  </si>
  <si>
    <t xml:space="preserve">Observações</t>
  </si>
  <si>
    <t xml:space="preserve">Grupo 01</t>
  </si>
  <si>
    <t xml:space="preserve">Grupo 02</t>
  </si>
  <si>
    <t xml:space="preserve">Grupo 03</t>
  </si>
  <si>
    <t xml:space="preserve">Grupo 04</t>
  </si>
  <si>
    <t xml:space="preserve">Grupo 05</t>
  </si>
  <si>
    <t xml:space="preserve">Grupo 06</t>
  </si>
  <si>
    <t xml:space="preserve">Grupo 07</t>
  </si>
  <si>
    <t xml:space="preserve">Grupo 08</t>
  </si>
  <si>
    <t xml:space="preserve">Grupo 09</t>
  </si>
  <si>
    <t xml:space="preserve">Grupo 10</t>
  </si>
  <si>
    <t xml:space="preserve">✅ Checklist de Configuração — Aulas 01 a 05 (Access Points TP-Link)</t>
  </si>
  <si>
    <t xml:space="preserve">Um bloco de linhas por grupo. Selecione o Status na lista suspensa.</t>
  </si>
  <si>
    <t xml:space="preserve">Aula / Módulo</t>
  </si>
  <si>
    <t xml:space="preserve">Item do checklist</t>
  </si>
  <si>
    <t xml:space="preserve">Status</t>
  </si>
  <si>
    <t xml:space="preserve">Responsável</t>
  </si>
  <si>
    <t xml:space="preserve">Data</t>
  </si>
  <si>
    <t xml:space="preserve">Aula 01 — Reset e Config. Básica</t>
  </si>
  <si>
    <t xml:space="preserve">Reset de fábrica realizado com sucesso</t>
  </si>
  <si>
    <t xml:space="preserve">Conexão de rede testada via ping (192.168.0.1)</t>
  </si>
  <si>
    <t xml:space="preserve">Acesso à interface web realizado e senha de admin definida</t>
  </si>
  <si>
    <t xml:space="preserve">Fuso horário configurado (Brasília — UTC-03:00)</t>
  </si>
  <si>
    <t xml:space="preserve">WAN em IP Dinâmico configurada</t>
  </si>
  <si>
    <t xml:space="preserve">WLAN 2.4/5.0 GHz desabilitadas propositalmente no wizard</t>
  </si>
  <si>
    <t xml:space="preserve">Aula 02 — WAN e LAN</t>
  </si>
  <si>
    <t xml:space="preserve">DNS da WAN configurado com servidor de proteção familiar</t>
  </si>
  <si>
    <t xml:space="preserve">Hostname (ap-grupo-0X) definido corretamente</t>
  </si>
  <si>
    <t xml:space="preserve">IP da LAN alterado para 172.16.xxx.254/24</t>
  </si>
  <si>
    <t xml:space="preserve">Placa de rede do computador reconfigurada para a nova faixa</t>
  </si>
  <si>
    <t xml:space="preserve">DHCP habilitado com pool 172.16.xxx.100–150</t>
  </si>
  <si>
    <t xml:space="preserve">Gateway e DNS primário do DHCP apontando para 172.16.xxx.254</t>
  </si>
  <si>
    <t xml:space="preserve">Servidores NTP (a.st1.ntp.br / c.st1.ntp.br) configurados</t>
  </si>
  <si>
    <t xml:space="preserve">Aula 03 — Wireless 2.4/5.0 GHz</t>
  </si>
  <si>
    <t xml:space="preserve">Rede 2.4 GHz habilitada com SSID grupo-0x-2.4</t>
  </si>
  <si>
    <t xml:space="preserve">Segurança WPA2/WPA3-Pessoal configurada em 2.4 GHz</t>
  </si>
  <si>
    <t xml:space="preserve">Canal 1 e largura 20 MHz definidos em 2.4 GHz</t>
  </si>
  <si>
    <t xml:space="preserve">Rede 5.0 GHz habilitada com SSID grupo-0x-5.0</t>
  </si>
  <si>
    <t xml:space="preserve">Segurança WPA2/WPA3-Pessoal configurada em 5.0 GHz</t>
  </si>
  <si>
    <t xml:space="preserve">Canal 36, largura 20 MHz e MU-MIMO habilitados em 5.0 GHz</t>
  </si>
  <si>
    <t xml:space="preserve">Conexão testada em ambas as bandas com o Wifiman</t>
  </si>
  <si>
    <t xml:space="preserve">Aula 04 — Segurança Wireless</t>
  </si>
  <si>
    <t xml:space="preserve">SSID 2.4/5.0 GHz ocultado e testado</t>
  </si>
  <si>
    <t xml:space="preserve">Agenda Wireless configurada (desligamento programado)</t>
  </si>
  <si>
    <t xml:space="preserve">WPS desativado em ambas as bandas</t>
  </si>
  <si>
    <t xml:space="preserve">Isolamento de AP e Airtime Fairness habilitados (2.4/5.0 GHz)</t>
  </si>
  <si>
    <t xml:space="preserve">Rede de convidados habilitada apenas em 5.0 GHz, com SSID/senha próprios</t>
  </si>
  <si>
    <t xml:space="preserve">Permissões de convidado restritas (sem LAN, sem visibilidade entre convidados)</t>
  </si>
  <si>
    <t xml:space="preserve">Aula 05 — Monitoramento e Acesso</t>
  </si>
  <si>
    <t xml:space="preserve">Lista de clientes DHCP consultada (nomes, IPv4/IPv6, MAC)</t>
  </si>
  <si>
    <t xml:space="preserve">Controle de Acesso habilitado (Lista Negra ou Branca) e testado</t>
  </si>
  <si>
    <t xml:space="preserve">Vínculo IP e MAC habilitado para o(s) dispositivo(s) selecionado(s)</t>
  </si>
  <si>
    <t xml:space="preserve">Perfil de Controle dos Pais criado e testado</t>
  </si>
  <si>
    <t xml:space="preserve">📶 Baseline do Ambiente Sem-Fio (Reconhecimento Passivo)</t>
  </si>
  <si>
    <t xml:space="preserve">Preencher com base na aula de Análise do Ambiente Wireless, antes dos ataques</t>
  </si>
  <si>
    <t xml:space="preserve">Hostname notebook</t>
  </si>
  <si>
    <t xml:space="preserve">Interface(s) sem-fio</t>
  </si>
  <si>
    <t xml:space="preserve">Antena (modelo/chipset)</t>
  </si>
  <si>
    <t xml:space="preserve">BSSID do AP</t>
  </si>
  <si>
    <t xml:space="preserve">ESSID (2.4 / 5.0 GHz)</t>
  </si>
  <si>
    <t xml:space="preserve">Canal(is)</t>
  </si>
  <si>
    <t xml:space="preserve">Largura de canal</t>
  </si>
  <si>
    <t xml:space="preserve">ENC / CIPHER / AUTH</t>
  </si>
  <si>
    <t xml:space="preserve">PWR médio (dBm)</t>
  </si>
  <si>
    <t xml:space="preserve">APs vizinhos no mesmo canal</t>
  </si>
  <si>
    <t xml:space="preserve">Cliente teste (MAC)</t>
  </si>
  <si>
    <t xml:space="preserve">Observações / interferência</t>
  </si>
  <si>
    <t xml:space="preserve">🎯 Resultados dos Ataques Práticos (Aulas 06 a 09)</t>
  </si>
  <si>
    <t xml:space="preserve">WEP, WPS, WPA/WPA2-PSK e WPA3-SAE — um bloco de linhas por grupo</t>
  </si>
  <si>
    <t xml:space="preserve">Aula</t>
  </si>
  <si>
    <t xml:space="preserve">BSSID alvo</t>
  </si>
  <si>
    <t xml:space="preserve">Canal</t>
  </si>
  <si>
    <t xml:space="preserve">Ferramenta principal</t>
  </si>
  <si>
    <t xml:space="preserve">Senha / PIN encontrado</t>
  </si>
  <si>
    <t xml:space="preserve">IVs / tentativas</t>
  </si>
  <si>
    <t xml:space="preserve">Tempo total (min)</t>
  </si>
  <si>
    <t xml:space="preserve">Data do teste</t>
  </si>
  <si>
    <t xml:space="preserve">Aula 06</t>
  </si>
  <si>
    <t xml:space="preserve">aircrack-ng (IVs)</t>
  </si>
  <si>
    <t xml:space="preserve">Aula 07</t>
  </si>
  <si>
    <t xml:space="preserve">reaver / pixiewps</t>
  </si>
  <si>
    <t xml:space="preserve">Aula 08</t>
  </si>
  <si>
    <t xml:space="preserve">aircrack-ng / hashcat</t>
  </si>
  <si>
    <t xml:space="preserve">Aula 09</t>
  </si>
  <si>
    <t xml:space="preserve">N/A — demonstrativo</t>
  </si>
  <si>
    <t xml:space="preserve">🛠️ Registro de Não Conformidades e Sugestões de Atualização</t>
  </si>
  <si>
    <t xml:space="preserve">Toda divergência entre o .md e a prática deve virar uma linha aqui — alimenta a próxima revisão da documentação</t>
  </si>
  <si>
    <t xml:space="preserve">Nº</t>
  </si>
  <si>
    <t xml:space="preserve">Arquivo .md / Aula</t>
  </si>
  <si>
    <t xml:space="preserve">Seção / Passo</t>
  </si>
  <si>
    <t xml:space="preserve">O que a documentação diz</t>
  </si>
  <si>
    <t xml:space="preserve">O que aconteceu na prática</t>
  </si>
  <si>
    <t xml:space="preserve">Ação sugerida</t>
  </si>
  <si>
    <t xml:space="preserve">1</t>
  </si>
  <si>
    <t xml:space="preserve">04-aircrack-ng/09 (WPA3)</t>
  </si>
  <si>
    <t xml:space="preserve">Cabeçalho / equipamento</t>
  </si>
  <si>
    <t xml:space="preserve">Aula usa Archer AX12, diferente das Aulas 01-08 (C50/EC220-G5)</t>
  </si>
  <si>
    <t xml:space="preserve">Confirmar disponibilidade de AX12 suficiente para todos os grupos</t>
  </si>
  <si>
    <t xml:space="preserve">2</t>
  </si>
  <si>
    <t xml:space="preserve">01-accesspoint/05 (Monitoramento)</t>
  </si>
  <si>
    <t xml:space="preserve">Item 09 - Controle dos Pais</t>
  </si>
  <si>
    <t xml:space="preserve">Procedimento descrito como incompleto na documentação original</t>
  </si>
  <si>
    <t xml:space="preserve">Completar passo a passo do cadastro de perfil antes da aula</t>
  </si>
  <si>
    <t xml:space="preserve">3</t>
  </si>
  <si>
    <t xml:space="preserve">05-wordlist/02-expandida.txt</t>
  </si>
  <si>
    <t xml:space="preserve">Sufixos de ano</t>
  </si>
  <si>
    <t xml:space="preserve">Algumas entradas parecem concatenadas incorretamente (ex.: Senactit@1232024)</t>
  </si>
  <si>
    <t xml:space="preserve">Revisar script gerador da wordlist expandida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</si>
</sst>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B4" s="3" t="s">
        <v>2</v>
      </c>
      <c r="C4" s="4"/>
    </row>
    <row r="5" customFormat="false" ht="15" hidden="false" customHeight="false" outlineLevel="0" collapsed="false">
      <c r="B5" s="3" t="s">
        <v>3</v>
      </c>
      <c r="C5" s="4"/>
    </row>
    <row r="6" customFormat="false" ht="15" hidden="false" customHeight="false" outlineLevel="0" collapsed="false">
      <c r="B6" s="3" t="s">
        <v>4</v>
      </c>
      <c r="C6" s="4"/>
    </row>
    <row r="7" customFormat="false" ht="15" hidden="false" customHeight="false" outlineLevel="0" collapsed="false">
      <c r="B7" s="3" t="s">
        <v>5</v>
      </c>
      <c r="C7" s="4"/>
    </row>
    <row r="9" customFormat="false" ht="15" hidden="false" customHeight="false" outlineLevel="0" collapsed="false">
      <c r="B9" s="5" t="s">
        <v>6</v>
      </c>
    </row>
    <row r="10" customFormat="false" ht="15" hidden="false" customHeight="true" outlineLevel="0" collapsed="false">
      <c r="B10" s="6" t="s">
        <v>7</v>
      </c>
      <c r="C10" s="6"/>
      <c r="D10" s="6"/>
      <c r="E10" s="6"/>
      <c r="F10" s="6"/>
    </row>
    <row r="11" customFormat="false" ht="15" hidden="false" customHeight="true" outlineLevel="0" collapsed="false">
      <c r="B11" s="6" t="s">
        <v>8</v>
      </c>
      <c r="C11" s="6"/>
      <c r="D11" s="6"/>
      <c r="E11" s="6"/>
      <c r="F11" s="6"/>
    </row>
    <row r="12" customFormat="false" ht="15" hidden="false" customHeight="true" outlineLevel="0" collapsed="false">
      <c r="B12" s="6" t="s">
        <v>9</v>
      </c>
      <c r="C12" s="6"/>
      <c r="D12" s="6"/>
      <c r="E12" s="6"/>
      <c r="F12" s="6"/>
    </row>
    <row r="13" customFormat="false" ht="15" hidden="false" customHeight="true" outlineLevel="0" collapsed="false">
      <c r="B13" s="6" t="s">
        <v>10</v>
      </c>
      <c r="C13" s="6"/>
      <c r="D13" s="6"/>
      <c r="E13" s="6"/>
      <c r="F13" s="6"/>
    </row>
    <row r="14" customFormat="false" ht="15" hidden="false" customHeight="true" outlineLevel="0" collapsed="false">
      <c r="B14" s="6" t="s">
        <v>11</v>
      </c>
      <c r="C14" s="6"/>
      <c r="D14" s="6"/>
      <c r="E14" s="6"/>
      <c r="F14" s="6"/>
    </row>
    <row r="15" customFormat="false" ht="15" hidden="false" customHeight="true" outlineLevel="0" collapsed="false">
      <c r="B15" s="6" t="s">
        <v>12</v>
      </c>
      <c r="C15" s="6"/>
      <c r="D15" s="6"/>
      <c r="E15" s="6"/>
      <c r="F15" s="6"/>
    </row>
    <row r="16" customFormat="false" ht="15" hidden="false" customHeight="false" outlineLevel="0" collapsed="false">
      <c r="B16" s="6"/>
      <c r="C16" s="6"/>
      <c r="D16" s="6"/>
      <c r="E16" s="6"/>
      <c r="F16" s="6"/>
    </row>
    <row r="17" customFormat="false" ht="15" hidden="false" customHeight="true" outlineLevel="0" collapsed="false">
      <c r="B17" s="6" t="s">
        <v>13</v>
      </c>
      <c r="C17" s="6"/>
      <c r="D17" s="6"/>
      <c r="E17" s="6"/>
      <c r="F17" s="6"/>
    </row>
    <row r="18" customFormat="false" ht="15" hidden="false" customHeight="false" outlineLevel="0" collapsed="false">
      <c r="B18" s="7"/>
      <c r="C18" s="8" t="s">
        <v>14</v>
      </c>
      <c r="D18" s="8"/>
      <c r="E18" s="8"/>
      <c r="F18" s="8"/>
    </row>
    <row r="19" customFormat="false" ht="15" hidden="false" customHeight="false" outlineLevel="0" collapsed="false">
      <c r="B19" s="9"/>
      <c r="C19" s="8" t="s">
        <v>15</v>
      </c>
      <c r="D19" s="8"/>
      <c r="E19" s="8"/>
      <c r="F19" s="8"/>
    </row>
    <row r="20" customFormat="false" ht="15" hidden="false" customHeight="false" outlineLevel="0" collapsed="false">
      <c r="B20" s="10"/>
      <c r="C20" s="8" t="s">
        <v>16</v>
      </c>
      <c r="D20" s="8"/>
      <c r="E20" s="8"/>
      <c r="F20" s="8"/>
    </row>
    <row r="21" customFormat="false" ht="15" hidden="false" customHeight="false" outlineLevel="0" collapsed="false">
      <c r="B21" s="11"/>
      <c r="C21" s="8" t="s">
        <v>17</v>
      </c>
      <c r="D21" s="8"/>
      <c r="E21" s="8"/>
      <c r="F21" s="8"/>
    </row>
    <row r="23" customFormat="false" ht="15" hidden="false" customHeight="true" outlineLevel="0" collapsed="false">
      <c r="B23" s="12" t="s">
        <v>18</v>
      </c>
      <c r="C23" s="12"/>
      <c r="D23" s="12"/>
      <c r="E23" s="12"/>
      <c r="F23" s="12"/>
    </row>
    <row r="24" customFormat="false" ht="15" hidden="false" customHeight="false" outlineLevel="0" collapsed="false">
      <c r="B24" s="12"/>
      <c r="C24" s="12"/>
      <c r="D24" s="12"/>
      <c r="E24" s="12"/>
      <c r="F24" s="12"/>
    </row>
    <row r="25" customFormat="false" ht="15" hidden="false" customHeight="false" outlineLevel="0" collapsed="false">
      <c r="B25" s="12"/>
      <c r="C25" s="12"/>
      <c r="D25" s="12"/>
      <c r="E25" s="12"/>
      <c r="F25" s="12"/>
    </row>
  </sheetData>
  <mergeCells count="15">
    <mergeCell ref="A1:F1"/>
    <mergeCell ref="A2:F2"/>
    <mergeCell ref="B10:F10"/>
    <mergeCell ref="B11:F11"/>
    <mergeCell ref="B12:F12"/>
    <mergeCell ref="B13:F13"/>
    <mergeCell ref="B14:F14"/>
    <mergeCell ref="B15:F15"/>
    <mergeCell ref="B16:F16"/>
    <mergeCell ref="B17:F17"/>
    <mergeCell ref="C18:F18"/>
    <mergeCell ref="C19:F19"/>
    <mergeCell ref="C20:F20"/>
    <mergeCell ref="C21:F21"/>
    <mergeCell ref="B23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</cols>
  <sheetData>
    <row r="1" customFormat="false" ht="30" hidden="false" customHeight="true" outlineLevel="0" collapsed="false">
      <c r="A1" s="1" t="s">
        <v>19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20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3" t="s">
        <v>21</v>
      </c>
      <c r="B4" s="13"/>
      <c r="C4" s="13"/>
      <c r="D4" s="13"/>
      <c r="E4" s="13"/>
      <c r="F4" s="13"/>
    </row>
    <row r="5" customFormat="false" ht="24" hidden="false" customHeight="true" outlineLevel="0" collapsed="false">
      <c r="A5" s="14" t="s">
        <v>22</v>
      </c>
      <c r="B5" s="14" t="s">
        <v>23</v>
      </c>
      <c r="C5" s="14" t="s">
        <v>24</v>
      </c>
      <c r="D5" s="14" t="s">
        <v>25</v>
      </c>
      <c r="E5" s="14" t="s">
        <v>26</v>
      </c>
      <c r="F5" s="14" t="s">
        <v>27</v>
      </c>
    </row>
    <row r="6" customFormat="false" ht="23.85" hidden="false" customHeight="false" outlineLevel="0" collapsed="false">
      <c r="A6" s="15" t="s">
        <v>28</v>
      </c>
      <c r="B6" s="16" t="n">
        <f aca="false">COUNTA('Checklist Config (Aulas 01-05)'!D5:D304)</f>
        <v>300</v>
      </c>
      <c r="C6" s="16" t="n">
        <f aca="false">COUNTIF('Checklist Config (Aulas 01-05)'!D5:D304,"OK")</f>
        <v>0</v>
      </c>
      <c r="D6" s="16" t="n">
        <f aca="false">COUNTIF('Checklist Config (Aulas 01-05)'!D5:D304,"Pendente")</f>
        <v>300</v>
      </c>
      <c r="E6" s="16" t="n">
        <f aca="false">COUNTIF('Checklist Config (Aulas 01-05)'!D5:D304,"Falhou")</f>
        <v>0</v>
      </c>
      <c r="F6" s="17" t="n">
        <f aca="false">IFERROR(C6/B6,0)</f>
        <v>0</v>
      </c>
    </row>
    <row r="8" customFormat="false" ht="15" hidden="false" customHeight="false" outlineLevel="0" collapsed="false">
      <c r="A8" s="13" t="s">
        <v>29</v>
      </c>
      <c r="B8" s="13"/>
      <c r="C8" s="13"/>
      <c r="D8" s="13"/>
      <c r="E8" s="13"/>
      <c r="F8" s="13"/>
    </row>
    <row r="9" customFormat="false" ht="24" hidden="false" customHeight="true" outlineLevel="0" collapsed="false">
      <c r="A9" s="14" t="s">
        <v>22</v>
      </c>
      <c r="B9" s="14" t="s">
        <v>23</v>
      </c>
      <c r="C9" s="14" t="s">
        <v>24</v>
      </c>
      <c r="D9" s="14" t="s">
        <v>25</v>
      </c>
      <c r="E9" s="14" t="s">
        <v>26</v>
      </c>
      <c r="F9" s="14" t="s">
        <v>27</v>
      </c>
    </row>
    <row r="10" customFormat="false" ht="23.85" hidden="false" customHeight="false" outlineLevel="0" collapsed="false">
      <c r="A10" s="15" t="s">
        <v>30</v>
      </c>
      <c r="B10" s="16" t="n">
        <f aca="false">COUNTA('Ataques - Resultados'!K5:K64)</f>
        <v>60</v>
      </c>
      <c r="C10" s="16" t="n">
        <f aca="false">COUNTIF('Ataques - Resultados'!K5:K64,"OK")</f>
        <v>0</v>
      </c>
      <c r="D10" s="16" t="n">
        <f aca="false">COUNTIF('Ataques - Resultados'!K5:K64,"Pendente")</f>
        <v>60</v>
      </c>
      <c r="E10" s="16" t="n">
        <f aca="false">COUNTIF('Ataques - Resultados'!K5:K64,"Falhou")</f>
        <v>0</v>
      </c>
      <c r="F10" s="17" t="n">
        <f aca="false">IFERROR(C10/B10,0)</f>
        <v>0</v>
      </c>
    </row>
    <row r="12" customFormat="false" ht="15" hidden="false" customHeight="false" outlineLevel="0" collapsed="false">
      <c r="A12" s="13" t="s">
        <v>31</v>
      </c>
      <c r="B12" s="13"/>
      <c r="C12" s="13"/>
      <c r="D12" s="13"/>
      <c r="E12" s="13"/>
      <c r="F12" s="13"/>
    </row>
    <row r="13" customFormat="false" ht="24" hidden="false" customHeight="true" outlineLevel="0" collapsed="false">
      <c r="A13" s="14" t="s">
        <v>32</v>
      </c>
      <c r="B13" s="14" t="s">
        <v>33</v>
      </c>
      <c r="C13" s="14" t="s">
        <v>24</v>
      </c>
      <c r="D13" s="14" t="s">
        <v>25</v>
      </c>
      <c r="E13" s="14" t="s">
        <v>26</v>
      </c>
      <c r="F13" s="14" t="s">
        <v>34</v>
      </c>
    </row>
    <row r="14" customFormat="false" ht="15" hidden="false" customHeight="false" outlineLevel="0" collapsed="false">
      <c r="A14" s="15" t="s">
        <v>35</v>
      </c>
      <c r="B14" s="16" t="n">
        <f aca="false">COUNTIF('Ataques - Resultados'!C5:C64,"WEP")</f>
        <v>10</v>
      </c>
      <c r="C14" s="16" t="n">
        <f aca="false">SUMPRODUCT(('Ataques - Resultados'!C5:C64="WEP")*('Ataques - Resultados'!K5:K64="OK"))</f>
        <v>0</v>
      </c>
      <c r="D14" s="16" t="n">
        <f aca="false">SUMPRODUCT(('Ataques - Resultados'!C5:C64="WEP")*('Ataques - Resultados'!K5:K64="Pendente"))</f>
        <v>10</v>
      </c>
      <c r="E14" s="16" t="n">
        <f aca="false">SUMPRODUCT(('Ataques - Resultados'!C5:C64="WEP")*('Ataques - Resultados'!K5:K64="Falhou"))</f>
        <v>0</v>
      </c>
      <c r="F14" s="17" t="n">
        <f aca="false">IFERROR(C14/B14,0)</f>
        <v>0</v>
      </c>
    </row>
    <row r="15" customFormat="false" ht="15" hidden="false" customHeight="false" outlineLevel="0" collapsed="false">
      <c r="A15" s="15" t="s">
        <v>36</v>
      </c>
      <c r="B15" s="16" t="n">
        <f aca="false">COUNTIF('Ataques - Resultados'!C5:C64,"WPS")</f>
        <v>10</v>
      </c>
      <c r="C15" s="16" t="n">
        <f aca="false">SUMPRODUCT(('Ataques - Resultados'!C5:C64="WPS")*('Ataques - Resultados'!K5:K64="OK"))</f>
        <v>0</v>
      </c>
      <c r="D15" s="16" t="n">
        <f aca="false">SUMPRODUCT(('Ataques - Resultados'!C5:C64="WPS")*('Ataques - Resultados'!K5:K64="Pendente"))</f>
        <v>10</v>
      </c>
      <c r="E15" s="16" t="n">
        <f aca="false">SUMPRODUCT(('Ataques - Resultados'!C5:C64="WPS")*('Ataques - Resultados'!K5:K64="Falhou"))</f>
        <v>0</v>
      </c>
      <c r="F15" s="17" t="n">
        <f aca="false">IFERROR(C15/B15,0)</f>
        <v>0</v>
      </c>
    </row>
    <row r="16" customFormat="false" ht="15" hidden="false" customHeight="false" outlineLevel="0" collapsed="false">
      <c r="A16" s="15" t="s">
        <v>37</v>
      </c>
      <c r="B16" s="16" t="n">
        <f aca="false">COUNTIF('Ataques - Resultados'!C5:C64,"WPA/WPA2-PSK (AES)")</f>
        <v>10</v>
      </c>
      <c r="C16" s="16" t="n">
        <f aca="false">SUMPRODUCT(('Ataques - Resultados'!C5:C64="WPA/WPA2-PSK (AES)")*('Ataques - Resultados'!K5:K64="OK"))</f>
        <v>0</v>
      </c>
      <c r="D16" s="16" t="n">
        <f aca="false">SUMPRODUCT(('Ataques - Resultados'!C5:C64="WPA/WPA2-PSK (AES)")*('Ataques - Resultados'!K5:K64="Pendente"))</f>
        <v>10</v>
      </c>
      <c r="E16" s="16" t="n">
        <f aca="false">SUMPRODUCT(('Ataques - Resultados'!C5:C64="WPA/WPA2-PSK (AES)")*('Ataques - Resultados'!K5:K64="Falhou"))</f>
        <v>0</v>
      </c>
      <c r="F16" s="17" t="n">
        <f aca="false">IFERROR(C16/B16,0)</f>
        <v>0</v>
      </c>
    </row>
    <row r="17" customFormat="false" ht="15" hidden="false" customHeight="false" outlineLevel="0" collapsed="false">
      <c r="A17" s="15" t="s">
        <v>38</v>
      </c>
      <c r="B17" s="16" t="n">
        <f aca="false">COUNTIF('Ataques - Resultados'!C5:C64,"WPA/WPA2-PSK (AES+TKIP)")</f>
        <v>10</v>
      </c>
      <c r="C17" s="16" t="n">
        <f aca="false">SUMPRODUCT(('Ataques - Resultados'!C5:C64="WPA/WPA2-PSK (AES+TKIP)")*('Ataques - Resultados'!K5:K64="OK"))</f>
        <v>0</v>
      </c>
      <c r="D17" s="16" t="n">
        <f aca="false">SUMPRODUCT(('Ataques - Resultados'!C5:C64="WPA/WPA2-PSK (AES+TKIP)")*('Ataques - Resultados'!K5:K64="Pendente"))</f>
        <v>10</v>
      </c>
      <c r="E17" s="16" t="n">
        <f aca="false">SUMPRODUCT(('Ataques - Resultados'!C5:C64="WPA/WPA2-PSK (AES+TKIP)")*('Ataques - Resultados'!K5:K64="Falhou"))</f>
        <v>0</v>
      </c>
      <c r="F17" s="17" t="n">
        <f aca="false">IFERROR(C17/B17,0)</f>
        <v>0</v>
      </c>
    </row>
    <row r="18" customFormat="false" ht="15" hidden="false" customHeight="false" outlineLevel="0" collapsed="false">
      <c r="A18" s="15" t="s">
        <v>39</v>
      </c>
      <c r="B18" s="16" t="n">
        <f aca="false">COUNTIF('Ataques - Resultados'!C5:C64,"WPA3-SAE puro (Cenário A)")</f>
        <v>10</v>
      </c>
      <c r="C18" s="16" t="n">
        <f aca="false">SUMPRODUCT(('Ataques - Resultados'!C5:C64="WPA3-SAE puro (Cenário A)")*('Ataques - Resultados'!K5:K64="OK"))</f>
        <v>0</v>
      </c>
      <c r="D18" s="16" t="n">
        <f aca="false">SUMPRODUCT(('Ataques - Resultados'!C5:C64="WPA3-SAE puro (Cenário A)")*('Ataques - Resultados'!K5:K64="Pendente"))</f>
        <v>10</v>
      </c>
      <c r="E18" s="16" t="n">
        <f aca="false">SUMPRODUCT(('Ataques - Resultados'!C5:C64="WPA3-SAE puro (Cenário A)")*('Ataques - Resultados'!K5:K64="Falhou"))</f>
        <v>0</v>
      </c>
      <c r="F18" s="17" t="n">
        <f aca="false">IFERROR(C18/B18,0)</f>
        <v>0</v>
      </c>
    </row>
    <row r="19" customFormat="false" ht="23.85" hidden="false" customHeight="false" outlineLevel="0" collapsed="false">
      <c r="A19" s="15" t="s">
        <v>40</v>
      </c>
      <c r="B19" s="16" t="n">
        <f aca="false">COUNTIF('Ataques - Resultados'!C5:C64,"WPA2/WPA3 downgrade (Cenário B)")</f>
        <v>10</v>
      </c>
      <c r="C19" s="16" t="n">
        <f aca="false">SUMPRODUCT(('Ataques - Resultados'!C5:C64="WPA2/WPA3 downgrade (Cenário B)")*('Ataques - Resultados'!K5:K64="OK"))</f>
        <v>0</v>
      </c>
      <c r="D19" s="16" t="n">
        <f aca="false">SUMPRODUCT(('Ataques - Resultados'!C5:C64="WPA2/WPA3 downgrade (Cenário B)")*('Ataques - Resultados'!K5:K64="Pendente"))</f>
        <v>10</v>
      </c>
      <c r="E19" s="16" t="n">
        <f aca="false">SUMPRODUCT(('Ataques - Resultados'!C5:C64="WPA2/WPA3 downgrade (Cenário B)")*('Ataques - Resultados'!K5:K64="Falhou"))</f>
        <v>0</v>
      </c>
      <c r="F19" s="17" t="n">
        <f aca="false">IFERROR(C19/B19,0)</f>
        <v>0</v>
      </c>
    </row>
    <row r="21" customFormat="false" ht="15" hidden="false" customHeight="true" outlineLevel="0" collapsed="false">
      <c r="A21" s="12" t="s">
        <v>41</v>
      </c>
      <c r="B21" s="12"/>
      <c r="C21" s="12"/>
      <c r="D21" s="12"/>
      <c r="E21" s="12"/>
      <c r="F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</row>
  </sheetData>
  <mergeCells count="6">
    <mergeCell ref="A1:F1"/>
    <mergeCell ref="A2:F2"/>
    <mergeCell ref="A4:F4"/>
    <mergeCell ref="A8:F8"/>
    <mergeCell ref="A12:F12"/>
    <mergeCell ref="A21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20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43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48</v>
      </c>
      <c r="F4" s="14" t="s">
        <v>49</v>
      </c>
      <c r="G4" s="14" t="s">
        <v>50</v>
      </c>
      <c r="H4" s="14" t="s">
        <v>51</v>
      </c>
    </row>
    <row r="5" customFormat="false" ht="19.5" hidden="false" customHeight="true" outlineLevel="0" collapsed="false">
      <c r="A5" s="18" t="s">
        <v>52</v>
      </c>
      <c r="B5" s="19"/>
      <c r="C5" s="19"/>
      <c r="D5" s="19"/>
      <c r="E5" s="19"/>
      <c r="F5" s="19"/>
      <c r="G5" s="19"/>
      <c r="H5" s="19"/>
    </row>
    <row r="6" customFormat="false" ht="19.5" hidden="false" customHeight="true" outlineLevel="0" collapsed="false">
      <c r="A6" s="18" t="s">
        <v>53</v>
      </c>
      <c r="B6" s="19"/>
      <c r="C6" s="19"/>
      <c r="D6" s="19"/>
      <c r="E6" s="19"/>
      <c r="F6" s="19"/>
      <c r="G6" s="19"/>
      <c r="H6" s="19"/>
    </row>
    <row r="7" customFormat="false" ht="19.5" hidden="false" customHeight="true" outlineLevel="0" collapsed="false">
      <c r="A7" s="18" t="s">
        <v>54</v>
      </c>
      <c r="B7" s="19"/>
      <c r="C7" s="19"/>
      <c r="D7" s="19"/>
      <c r="E7" s="19"/>
      <c r="F7" s="19"/>
      <c r="G7" s="19"/>
      <c r="H7" s="19"/>
    </row>
    <row r="8" customFormat="false" ht="19.5" hidden="false" customHeight="true" outlineLevel="0" collapsed="false">
      <c r="A8" s="18" t="s">
        <v>55</v>
      </c>
      <c r="B8" s="19"/>
      <c r="C8" s="19"/>
      <c r="D8" s="19"/>
      <c r="E8" s="19"/>
      <c r="F8" s="19"/>
      <c r="G8" s="19"/>
      <c r="H8" s="19"/>
    </row>
    <row r="9" customFormat="false" ht="19.5" hidden="false" customHeight="true" outlineLevel="0" collapsed="false">
      <c r="A9" s="18" t="s">
        <v>56</v>
      </c>
      <c r="B9" s="19"/>
      <c r="C9" s="19"/>
      <c r="D9" s="19"/>
      <c r="E9" s="19"/>
      <c r="F9" s="19"/>
      <c r="G9" s="19"/>
      <c r="H9" s="19"/>
    </row>
    <row r="10" customFormat="false" ht="19.5" hidden="false" customHeight="true" outlineLevel="0" collapsed="false">
      <c r="A10" s="18" t="s">
        <v>57</v>
      </c>
      <c r="B10" s="19"/>
      <c r="C10" s="19"/>
      <c r="D10" s="19"/>
      <c r="E10" s="19"/>
      <c r="F10" s="19"/>
      <c r="G10" s="19"/>
      <c r="H10" s="19"/>
    </row>
    <row r="11" customFormat="false" ht="19.5" hidden="false" customHeight="true" outlineLevel="0" collapsed="false">
      <c r="A11" s="18" t="s">
        <v>58</v>
      </c>
      <c r="B11" s="19"/>
      <c r="C11" s="19"/>
      <c r="D11" s="19"/>
      <c r="E11" s="19"/>
      <c r="F11" s="19"/>
      <c r="G11" s="19"/>
      <c r="H11" s="19"/>
    </row>
    <row r="12" customFormat="false" ht="19.5" hidden="false" customHeight="true" outlineLevel="0" collapsed="false">
      <c r="A12" s="18" t="s">
        <v>59</v>
      </c>
      <c r="B12" s="19"/>
      <c r="C12" s="19"/>
      <c r="D12" s="19"/>
      <c r="E12" s="19"/>
      <c r="F12" s="19"/>
      <c r="G12" s="19"/>
      <c r="H12" s="19"/>
    </row>
    <row r="13" customFormat="false" ht="19.5" hidden="false" customHeight="true" outlineLevel="0" collapsed="false">
      <c r="A13" s="18" t="s">
        <v>60</v>
      </c>
      <c r="B13" s="19"/>
      <c r="C13" s="19"/>
      <c r="D13" s="19"/>
      <c r="E13" s="19"/>
      <c r="F13" s="19"/>
      <c r="G13" s="19"/>
      <c r="H13" s="19"/>
    </row>
    <row r="14" customFormat="false" ht="19.5" hidden="false" customHeight="true" outlineLevel="0" collapsed="false">
      <c r="A14" s="18" t="s">
        <v>61</v>
      </c>
      <c r="B14" s="19"/>
      <c r="C14" s="19"/>
      <c r="D14" s="19"/>
      <c r="E14" s="19"/>
      <c r="F14" s="19"/>
      <c r="G14" s="19"/>
      <c r="H14" s="19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" t="s">
        <v>62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63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14" t="s">
        <v>44</v>
      </c>
      <c r="B4" s="14" t="s">
        <v>64</v>
      </c>
      <c r="C4" s="14" t="s">
        <v>65</v>
      </c>
      <c r="D4" s="14" t="s">
        <v>66</v>
      </c>
      <c r="E4" s="14" t="s">
        <v>67</v>
      </c>
      <c r="F4" s="14" t="s">
        <v>68</v>
      </c>
      <c r="G4" s="14" t="s">
        <v>51</v>
      </c>
    </row>
    <row r="5" customFormat="false" ht="23.85" hidden="false" customHeight="false" outlineLevel="0" collapsed="false">
      <c r="A5" s="20" t="s">
        <v>52</v>
      </c>
      <c r="B5" s="15" t="s">
        <v>69</v>
      </c>
      <c r="C5" s="15" t="s">
        <v>70</v>
      </c>
      <c r="D5" s="21" t="s">
        <v>25</v>
      </c>
      <c r="E5" s="19"/>
      <c r="F5" s="19"/>
      <c r="G5" s="19"/>
    </row>
    <row r="6" customFormat="false" ht="23.85" hidden="false" customHeight="false" outlineLevel="0" collapsed="false">
      <c r="A6" s="20"/>
      <c r="B6" s="15" t="s">
        <v>69</v>
      </c>
      <c r="C6" s="15" t="s">
        <v>71</v>
      </c>
      <c r="D6" s="21" t="s">
        <v>25</v>
      </c>
      <c r="E6" s="19"/>
      <c r="F6" s="19"/>
      <c r="G6" s="19"/>
    </row>
    <row r="7" customFormat="false" ht="23.85" hidden="false" customHeight="false" outlineLevel="0" collapsed="false">
      <c r="A7" s="20"/>
      <c r="B7" s="15" t="s">
        <v>69</v>
      </c>
      <c r="C7" s="15" t="s">
        <v>72</v>
      </c>
      <c r="D7" s="21" t="s">
        <v>25</v>
      </c>
      <c r="E7" s="19"/>
      <c r="F7" s="19"/>
      <c r="G7" s="19"/>
    </row>
    <row r="8" customFormat="false" ht="23.85" hidden="false" customHeight="false" outlineLevel="0" collapsed="false">
      <c r="A8" s="20"/>
      <c r="B8" s="15" t="s">
        <v>69</v>
      </c>
      <c r="C8" s="15" t="s">
        <v>73</v>
      </c>
      <c r="D8" s="21" t="s">
        <v>25</v>
      </c>
      <c r="E8" s="19"/>
      <c r="F8" s="19"/>
      <c r="G8" s="19"/>
    </row>
    <row r="9" customFormat="false" ht="23.85" hidden="false" customHeight="false" outlineLevel="0" collapsed="false">
      <c r="A9" s="20"/>
      <c r="B9" s="15" t="s">
        <v>69</v>
      </c>
      <c r="C9" s="15" t="s">
        <v>74</v>
      </c>
      <c r="D9" s="21" t="s">
        <v>25</v>
      </c>
      <c r="E9" s="19"/>
      <c r="F9" s="19"/>
      <c r="G9" s="19"/>
    </row>
    <row r="10" customFormat="false" ht="23.85" hidden="false" customHeight="false" outlineLevel="0" collapsed="false">
      <c r="A10" s="20"/>
      <c r="B10" s="15" t="s">
        <v>69</v>
      </c>
      <c r="C10" s="15" t="s">
        <v>75</v>
      </c>
      <c r="D10" s="21" t="s">
        <v>25</v>
      </c>
      <c r="E10" s="19"/>
      <c r="F10" s="19"/>
      <c r="G10" s="19"/>
    </row>
    <row r="11" customFormat="false" ht="23.85" hidden="false" customHeight="false" outlineLevel="0" collapsed="false">
      <c r="A11" s="20"/>
      <c r="B11" s="15" t="s">
        <v>76</v>
      </c>
      <c r="C11" s="15" t="s">
        <v>77</v>
      </c>
      <c r="D11" s="21" t="s">
        <v>25</v>
      </c>
      <c r="E11" s="19"/>
      <c r="F11" s="19"/>
      <c r="G11" s="19"/>
    </row>
    <row r="12" customFormat="false" ht="15" hidden="false" customHeight="false" outlineLevel="0" collapsed="false">
      <c r="A12" s="20"/>
      <c r="B12" s="15" t="s">
        <v>76</v>
      </c>
      <c r="C12" s="15" t="s">
        <v>78</v>
      </c>
      <c r="D12" s="21" t="s">
        <v>25</v>
      </c>
      <c r="E12" s="19"/>
      <c r="F12" s="19"/>
      <c r="G12" s="19"/>
    </row>
    <row r="13" customFormat="false" ht="15" hidden="false" customHeight="false" outlineLevel="0" collapsed="false">
      <c r="A13" s="20"/>
      <c r="B13" s="15" t="s">
        <v>76</v>
      </c>
      <c r="C13" s="15" t="s">
        <v>79</v>
      </c>
      <c r="D13" s="21" t="s">
        <v>25</v>
      </c>
      <c r="E13" s="19"/>
      <c r="F13" s="19"/>
      <c r="G13" s="19"/>
    </row>
    <row r="14" customFormat="false" ht="23.85" hidden="false" customHeight="false" outlineLevel="0" collapsed="false">
      <c r="A14" s="20"/>
      <c r="B14" s="15" t="s">
        <v>76</v>
      </c>
      <c r="C14" s="15" t="s">
        <v>80</v>
      </c>
      <c r="D14" s="21" t="s">
        <v>25</v>
      </c>
      <c r="E14" s="19"/>
      <c r="F14" s="19"/>
      <c r="G14" s="19"/>
    </row>
    <row r="15" customFormat="false" ht="15" hidden="false" customHeight="false" outlineLevel="0" collapsed="false">
      <c r="A15" s="20"/>
      <c r="B15" s="15" t="s">
        <v>76</v>
      </c>
      <c r="C15" s="15" t="s">
        <v>81</v>
      </c>
      <c r="D15" s="21" t="s">
        <v>25</v>
      </c>
      <c r="E15" s="19"/>
      <c r="F15" s="19"/>
      <c r="G15" s="19"/>
    </row>
    <row r="16" customFormat="false" ht="23.85" hidden="false" customHeight="false" outlineLevel="0" collapsed="false">
      <c r="A16" s="20"/>
      <c r="B16" s="15" t="s">
        <v>76</v>
      </c>
      <c r="C16" s="15" t="s">
        <v>82</v>
      </c>
      <c r="D16" s="21" t="s">
        <v>25</v>
      </c>
      <c r="E16" s="19"/>
      <c r="F16" s="19"/>
      <c r="G16" s="19"/>
    </row>
    <row r="17" customFormat="false" ht="15" hidden="false" customHeight="false" outlineLevel="0" collapsed="false">
      <c r="A17" s="20"/>
      <c r="B17" s="15" t="s">
        <v>76</v>
      </c>
      <c r="C17" s="15" t="s">
        <v>83</v>
      </c>
      <c r="D17" s="21" t="s">
        <v>25</v>
      </c>
      <c r="E17" s="19"/>
      <c r="F17" s="19"/>
      <c r="G17" s="19"/>
    </row>
    <row r="18" customFormat="false" ht="23.85" hidden="false" customHeight="false" outlineLevel="0" collapsed="false">
      <c r="A18" s="20"/>
      <c r="B18" s="15" t="s">
        <v>84</v>
      </c>
      <c r="C18" s="15" t="s">
        <v>85</v>
      </c>
      <c r="D18" s="21" t="s">
        <v>25</v>
      </c>
      <c r="E18" s="19"/>
      <c r="F18" s="19"/>
      <c r="G18" s="19"/>
    </row>
    <row r="19" customFormat="false" ht="23.85" hidden="false" customHeight="false" outlineLevel="0" collapsed="false">
      <c r="A19" s="20"/>
      <c r="B19" s="15" t="s">
        <v>84</v>
      </c>
      <c r="C19" s="15" t="s">
        <v>86</v>
      </c>
      <c r="D19" s="21" t="s">
        <v>25</v>
      </c>
      <c r="E19" s="19"/>
      <c r="F19" s="19"/>
      <c r="G19" s="19"/>
    </row>
    <row r="20" customFormat="false" ht="23.85" hidden="false" customHeight="false" outlineLevel="0" collapsed="false">
      <c r="A20" s="20"/>
      <c r="B20" s="15" t="s">
        <v>84</v>
      </c>
      <c r="C20" s="15" t="s">
        <v>87</v>
      </c>
      <c r="D20" s="21" t="s">
        <v>25</v>
      </c>
      <c r="E20" s="19"/>
      <c r="F20" s="19"/>
      <c r="G20" s="19"/>
    </row>
    <row r="21" customFormat="false" ht="23.85" hidden="false" customHeight="false" outlineLevel="0" collapsed="false">
      <c r="A21" s="20"/>
      <c r="B21" s="15" t="s">
        <v>84</v>
      </c>
      <c r="C21" s="15" t="s">
        <v>88</v>
      </c>
      <c r="D21" s="21" t="s">
        <v>25</v>
      </c>
      <c r="E21" s="19"/>
      <c r="F21" s="19"/>
      <c r="G21" s="19"/>
    </row>
    <row r="22" customFormat="false" ht="23.85" hidden="false" customHeight="false" outlineLevel="0" collapsed="false">
      <c r="A22" s="20"/>
      <c r="B22" s="15" t="s">
        <v>84</v>
      </c>
      <c r="C22" s="15" t="s">
        <v>89</v>
      </c>
      <c r="D22" s="21" t="s">
        <v>25</v>
      </c>
      <c r="E22" s="19"/>
      <c r="F22" s="19"/>
      <c r="G22" s="19"/>
    </row>
    <row r="23" customFormat="false" ht="23.85" hidden="false" customHeight="false" outlineLevel="0" collapsed="false">
      <c r="A23" s="20"/>
      <c r="B23" s="15" t="s">
        <v>84</v>
      </c>
      <c r="C23" s="15" t="s">
        <v>90</v>
      </c>
      <c r="D23" s="21" t="s">
        <v>25</v>
      </c>
      <c r="E23" s="19"/>
      <c r="F23" s="19"/>
      <c r="G23" s="19"/>
    </row>
    <row r="24" customFormat="false" ht="23.85" hidden="false" customHeight="false" outlineLevel="0" collapsed="false">
      <c r="A24" s="20"/>
      <c r="B24" s="15" t="s">
        <v>84</v>
      </c>
      <c r="C24" s="15" t="s">
        <v>91</v>
      </c>
      <c r="D24" s="21" t="s">
        <v>25</v>
      </c>
      <c r="E24" s="19"/>
      <c r="F24" s="19"/>
      <c r="G24" s="19"/>
    </row>
    <row r="25" customFormat="false" ht="15" hidden="false" customHeight="false" outlineLevel="0" collapsed="false">
      <c r="A25" s="20"/>
      <c r="B25" s="15" t="s">
        <v>92</v>
      </c>
      <c r="C25" s="15" t="s">
        <v>93</v>
      </c>
      <c r="D25" s="21" t="s">
        <v>25</v>
      </c>
      <c r="E25" s="19"/>
      <c r="F25" s="19"/>
      <c r="G25" s="19"/>
    </row>
    <row r="26" customFormat="false" ht="23.85" hidden="false" customHeight="false" outlineLevel="0" collapsed="false">
      <c r="A26" s="20"/>
      <c r="B26" s="15" t="s">
        <v>92</v>
      </c>
      <c r="C26" s="15" t="s">
        <v>94</v>
      </c>
      <c r="D26" s="21" t="s">
        <v>25</v>
      </c>
      <c r="E26" s="19"/>
      <c r="F26" s="19"/>
      <c r="G26" s="19"/>
    </row>
    <row r="27" customFormat="false" ht="15" hidden="false" customHeight="false" outlineLevel="0" collapsed="false">
      <c r="A27" s="20"/>
      <c r="B27" s="15" t="s">
        <v>92</v>
      </c>
      <c r="C27" s="15" t="s">
        <v>95</v>
      </c>
      <c r="D27" s="21" t="s">
        <v>25</v>
      </c>
      <c r="E27" s="19"/>
      <c r="F27" s="19"/>
      <c r="G27" s="19"/>
    </row>
    <row r="28" customFormat="false" ht="23.85" hidden="false" customHeight="false" outlineLevel="0" collapsed="false">
      <c r="A28" s="20"/>
      <c r="B28" s="15" t="s">
        <v>92</v>
      </c>
      <c r="C28" s="15" t="s">
        <v>96</v>
      </c>
      <c r="D28" s="21" t="s">
        <v>25</v>
      </c>
      <c r="E28" s="19"/>
      <c r="F28" s="19"/>
      <c r="G28" s="19"/>
    </row>
    <row r="29" customFormat="false" ht="23.85" hidden="false" customHeight="false" outlineLevel="0" collapsed="false">
      <c r="A29" s="20"/>
      <c r="B29" s="15" t="s">
        <v>92</v>
      </c>
      <c r="C29" s="15" t="s">
        <v>97</v>
      </c>
      <c r="D29" s="21" t="s">
        <v>25</v>
      </c>
      <c r="E29" s="19"/>
      <c r="F29" s="19"/>
      <c r="G29" s="19"/>
    </row>
    <row r="30" customFormat="false" ht="23.85" hidden="false" customHeight="false" outlineLevel="0" collapsed="false">
      <c r="A30" s="20"/>
      <c r="B30" s="15" t="s">
        <v>92</v>
      </c>
      <c r="C30" s="15" t="s">
        <v>98</v>
      </c>
      <c r="D30" s="21" t="s">
        <v>25</v>
      </c>
      <c r="E30" s="19"/>
      <c r="F30" s="19"/>
      <c r="G30" s="19"/>
    </row>
    <row r="31" customFormat="false" ht="23.85" hidden="false" customHeight="false" outlineLevel="0" collapsed="false">
      <c r="A31" s="20"/>
      <c r="B31" s="15" t="s">
        <v>99</v>
      </c>
      <c r="C31" s="15" t="s">
        <v>100</v>
      </c>
      <c r="D31" s="21" t="s">
        <v>25</v>
      </c>
      <c r="E31" s="19"/>
      <c r="F31" s="19"/>
      <c r="G31" s="19"/>
    </row>
    <row r="32" customFormat="false" ht="23.85" hidden="false" customHeight="false" outlineLevel="0" collapsed="false">
      <c r="A32" s="20"/>
      <c r="B32" s="15" t="s">
        <v>99</v>
      </c>
      <c r="C32" s="15" t="s">
        <v>101</v>
      </c>
      <c r="D32" s="21" t="s">
        <v>25</v>
      </c>
      <c r="E32" s="19"/>
      <c r="F32" s="19"/>
      <c r="G32" s="19"/>
    </row>
    <row r="33" customFormat="false" ht="23.85" hidden="false" customHeight="false" outlineLevel="0" collapsed="false">
      <c r="A33" s="20"/>
      <c r="B33" s="15" t="s">
        <v>99</v>
      </c>
      <c r="C33" s="15" t="s">
        <v>102</v>
      </c>
      <c r="D33" s="21" t="s">
        <v>25</v>
      </c>
      <c r="E33" s="19"/>
      <c r="F33" s="19"/>
      <c r="G33" s="19"/>
    </row>
    <row r="34" customFormat="false" ht="23.85" hidden="false" customHeight="false" outlineLevel="0" collapsed="false">
      <c r="A34" s="20"/>
      <c r="B34" s="15" t="s">
        <v>99</v>
      </c>
      <c r="C34" s="15" t="s">
        <v>103</v>
      </c>
      <c r="D34" s="21" t="s">
        <v>25</v>
      </c>
      <c r="E34" s="19"/>
      <c r="F34" s="19"/>
      <c r="G34" s="19"/>
    </row>
    <row r="35" customFormat="false" ht="23.85" hidden="false" customHeight="false" outlineLevel="0" collapsed="false">
      <c r="A35" s="20" t="s">
        <v>53</v>
      </c>
      <c r="B35" s="15" t="s">
        <v>69</v>
      </c>
      <c r="C35" s="15" t="s">
        <v>70</v>
      </c>
      <c r="D35" s="21" t="s">
        <v>25</v>
      </c>
      <c r="E35" s="19"/>
      <c r="F35" s="19"/>
      <c r="G35" s="19"/>
    </row>
    <row r="36" customFormat="false" ht="23.85" hidden="false" customHeight="false" outlineLevel="0" collapsed="false">
      <c r="A36" s="20"/>
      <c r="B36" s="15" t="s">
        <v>69</v>
      </c>
      <c r="C36" s="15" t="s">
        <v>71</v>
      </c>
      <c r="D36" s="21" t="s">
        <v>25</v>
      </c>
      <c r="E36" s="19"/>
      <c r="F36" s="19"/>
      <c r="G36" s="19"/>
    </row>
    <row r="37" customFormat="false" ht="23.85" hidden="false" customHeight="false" outlineLevel="0" collapsed="false">
      <c r="A37" s="20"/>
      <c r="B37" s="15" t="s">
        <v>69</v>
      </c>
      <c r="C37" s="15" t="s">
        <v>72</v>
      </c>
      <c r="D37" s="21" t="s">
        <v>25</v>
      </c>
      <c r="E37" s="19"/>
      <c r="F37" s="19"/>
      <c r="G37" s="19"/>
    </row>
    <row r="38" customFormat="false" ht="23.85" hidden="false" customHeight="false" outlineLevel="0" collapsed="false">
      <c r="A38" s="20"/>
      <c r="B38" s="15" t="s">
        <v>69</v>
      </c>
      <c r="C38" s="15" t="s">
        <v>73</v>
      </c>
      <c r="D38" s="21" t="s">
        <v>25</v>
      </c>
      <c r="E38" s="19"/>
      <c r="F38" s="19"/>
      <c r="G38" s="19"/>
    </row>
    <row r="39" customFormat="false" ht="23.85" hidden="false" customHeight="false" outlineLevel="0" collapsed="false">
      <c r="A39" s="20"/>
      <c r="B39" s="15" t="s">
        <v>69</v>
      </c>
      <c r="C39" s="15" t="s">
        <v>74</v>
      </c>
      <c r="D39" s="21" t="s">
        <v>25</v>
      </c>
      <c r="E39" s="19"/>
      <c r="F39" s="19"/>
      <c r="G39" s="19"/>
    </row>
    <row r="40" customFormat="false" ht="23.85" hidden="false" customHeight="false" outlineLevel="0" collapsed="false">
      <c r="A40" s="20"/>
      <c r="B40" s="15" t="s">
        <v>69</v>
      </c>
      <c r="C40" s="15" t="s">
        <v>75</v>
      </c>
      <c r="D40" s="21" t="s">
        <v>25</v>
      </c>
      <c r="E40" s="19"/>
      <c r="F40" s="19"/>
      <c r="G40" s="19"/>
    </row>
    <row r="41" customFormat="false" ht="23.85" hidden="false" customHeight="false" outlineLevel="0" collapsed="false">
      <c r="A41" s="20"/>
      <c r="B41" s="15" t="s">
        <v>76</v>
      </c>
      <c r="C41" s="15" t="s">
        <v>77</v>
      </c>
      <c r="D41" s="21" t="s">
        <v>25</v>
      </c>
      <c r="E41" s="19"/>
      <c r="F41" s="19"/>
      <c r="G41" s="19"/>
    </row>
    <row r="42" customFormat="false" ht="15" hidden="false" customHeight="false" outlineLevel="0" collapsed="false">
      <c r="A42" s="20"/>
      <c r="B42" s="15" t="s">
        <v>76</v>
      </c>
      <c r="C42" s="15" t="s">
        <v>78</v>
      </c>
      <c r="D42" s="21" t="s">
        <v>25</v>
      </c>
      <c r="E42" s="19"/>
      <c r="F42" s="19"/>
      <c r="G42" s="19"/>
    </row>
    <row r="43" customFormat="false" ht="15" hidden="false" customHeight="false" outlineLevel="0" collapsed="false">
      <c r="A43" s="20"/>
      <c r="B43" s="15" t="s">
        <v>76</v>
      </c>
      <c r="C43" s="15" t="s">
        <v>79</v>
      </c>
      <c r="D43" s="21" t="s">
        <v>25</v>
      </c>
      <c r="E43" s="19"/>
      <c r="F43" s="19"/>
      <c r="G43" s="19"/>
    </row>
    <row r="44" customFormat="false" ht="23.85" hidden="false" customHeight="false" outlineLevel="0" collapsed="false">
      <c r="A44" s="20"/>
      <c r="B44" s="15" t="s">
        <v>76</v>
      </c>
      <c r="C44" s="15" t="s">
        <v>80</v>
      </c>
      <c r="D44" s="21" t="s">
        <v>25</v>
      </c>
      <c r="E44" s="19"/>
      <c r="F44" s="19"/>
      <c r="G44" s="19"/>
    </row>
    <row r="45" customFormat="false" ht="15" hidden="false" customHeight="false" outlineLevel="0" collapsed="false">
      <c r="A45" s="20"/>
      <c r="B45" s="15" t="s">
        <v>76</v>
      </c>
      <c r="C45" s="15" t="s">
        <v>81</v>
      </c>
      <c r="D45" s="21" t="s">
        <v>25</v>
      </c>
      <c r="E45" s="19"/>
      <c r="F45" s="19"/>
      <c r="G45" s="19"/>
    </row>
    <row r="46" customFormat="false" ht="23.85" hidden="false" customHeight="false" outlineLevel="0" collapsed="false">
      <c r="A46" s="20"/>
      <c r="B46" s="15" t="s">
        <v>76</v>
      </c>
      <c r="C46" s="15" t="s">
        <v>82</v>
      </c>
      <c r="D46" s="21" t="s">
        <v>25</v>
      </c>
      <c r="E46" s="19"/>
      <c r="F46" s="19"/>
      <c r="G46" s="19"/>
    </row>
    <row r="47" customFormat="false" ht="15" hidden="false" customHeight="false" outlineLevel="0" collapsed="false">
      <c r="A47" s="20"/>
      <c r="B47" s="15" t="s">
        <v>76</v>
      </c>
      <c r="C47" s="15" t="s">
        <v>83</v>
      </c>
      <c r="D47" s="21" t="s">
        <v>25</v>
      </c>
      <c r="E47" s="19"/>
      <c r="F47" s="19"/>
      <c r="G47" s="19"/>
    </row>
    <row r="48" customFormat="false" ht="23.85" hidden="false" customHeight="false" outlineLevel="0" collapsed="false">
      <c r="A48" s="20"/>
      <c r="B48" s="15" t="s">
        <v>84</v>
      </c>
      <c r="C48" s="15" t="s">
        <v>85</v>
      </c>
      <c r="D48" s="21" t="s">
        <v>25</v>
      </c>
      <c r="E48" s="19"/>
      <c r="F48" s="19"/>
      <c r="G48" s="19"/>
    </row>
    <row r="49" customFormat="false" ht="23.85" hidden="false" customHeight="false" outlineLevel="0" collapsed="false">
      <c r="A49" s="20"/>
      <c r="B49" s="15" t="s">
        <v>84</v>
      </c>
      <c r="C49" s="15" t="s">
        <v>86</v>
      </c>
      <c r="D49" s="21" t="s">
        <v>25</v>
      </c>
      <c r="E49" s="19"/>
      <c r="F49" s="19"/>
      <c r="G49" s="19"/>
    </row>
    <row r="50" customFormat="false" ht="23.85" hidden="false" customHeight="false" outlineLevel="0" collapsed="false">
      <c r="A50" s="20"/>
      <c r="B50" s="15" t="s">
        <v>84</v>
      </c>
      <c r="C50" s="15" t="s">
        <v>87</v>
      </c>
      <c r="D50" s="21" t="s">
        <v>25</v>
      </c>
      <c r="E50" s="19"/>
      <c r="F50" s="19"/>
      <c r="G50" s="19"/>
    </row>
    <row r="51" customFormat="false" ht="23.85" hidden="false" customHeight="false" outlineLevel="0" collapsed="false">
      <c r="A51" s="20"/>
      <c r="B51" s="15" t="s">
        <v>84</v>
      </c>
      <c r="C51" s="15" t="s">
        <v>88</v>
      </c>
      <c r="D51" s="21" t="s">
        <v>25</v>
      </c>
      <c r="E51" s="19"/>
      <c r="F51" s="19"/>
      <c r="G51" s="19"/>
    </row>
    <row r="52" customFormat="false" ht="23.85" hidden="false" customHeight="false" outlineLevel="0" collapsed="false">
      <c r="A52" s="20"/>
      <c r="B52" s="15" t="s">
        <v>84</v>
      </c>
      <c r="C52" s="15" t="s">
        <v>89</v>
      </c>
      <c r="D52" s="21" t="s">
        <v>25</v>
      </c>
      <c r="E52" s="19"/>
      <c r="F52" s="19"/>
      <c r="G52" s="19"/>
    </row>
    <row r="53" customFormat="false" ht="23.85" hidden="false" customHeight="false" outlineLevel="0" collapsed="false">
      <c r="A53" s="20"/>
      <c r="B53" s="15" t="s">
        <v>84</v>
      </c>
      <c r="C53" s="15" t="s">
        <v>90</v>
      </c>
      <c r="D53" s="21" t="s">
        <v>25</v>
      </c>
      <c r="E53" s="19"/>
      <c r="F53" s="19"/>
      <c r="G53" s="19"/>
    </row>
    <row r="54" customFormat="false" ht="23.85" hidden="false" customHeight="false" outlineLevel="0" collapsed="false">
      <c r="A54" s="20"/>
      <c r="B54" s="15" t="s">
        <v>84</v>
      </c>
      <c r="C54" s="15" t="s">
        <v>91</v>
      </c>
      <c r="D54" s="21" t="s">
        <v>25</v>
      </c>
      <c r="E54" s="19"/>
      <c r="F54" s="19"/>
      <c r="G54" s="19"/>
    </row>
    <row r="55" customFormat="false" ht="15" hidden="false" customHeight="false" outlineLevel="0" collapsed="false">
      <c r="A55" s="20"/>
      <c r="B55" s="15" t="s">
        <v>92</v>
      </c>
      <c r="C55" s="15" t="s">
        <v>93</v>
      </c>
      <c r="D55" s="21" t="s">
        <v>25</v>
      </c>
      <c r="E55" s="19"/>
      <c r="F55" s="19"/>
      <c r="G55" s="19"/>
    </row>
    <row r="56" customFormat="false" ht="23.85" hidden="false" customHeight="false" outlineLevel="0" collapsed="false">
      <c r="A56" s="20"/>
      <c r="B56" s="15" t="s">
        <v>92</v>
      </c>
      <c r="C56" s="15" t="s">
        <v>94</v>
      </c>
      <c r="D56" s="21" t="s">
        <v>25</v>
      </c>
      <c r="E56" s="19"/>
      <c r="F56" s="19"/>
      <c r="G56" s="19"/>
    </row>
    <row r="57" customFormat="false" ht="15" hidden="false" customHeight="false" outlineLevel="0" collapsed="false">
      <c r="A57" s="20"/>
      <c r="B57" s="15" t="s">
        <v>92</v>
      </c>
      <c r="C57" s="15" t="s">
        <v>95</v>
      </c>
      <c r="D57" s="21" t="s">
        <v>25</v>
      </c>
      <c r="E57" s="19"/>
      <c r="F57" s="19"/>
      <c r="G57" s="19"/>
    </row>
    <row r="58" customFormat="false" ht="23.85" hidden="false" customHeight="false" outlineLevel="0" collapsed="false">
      <c r="A58" s="20"/>
      <c r="B58" s="15" t="s">
        <v>92</v>
      </c>
      <c r="C58" s="15" t="s">
        <v>96</v>
      </c>
      <c r="D58" s="21" t="s">
        <v>25</v>
      </c>
      <c r="E58" s="19"/>
      <c r="F58" s="19"/>
      <c r="G58" s="19"/>
    </row>
    <row r="59" customFormat="false" ht="23.85" hidden="false" customHeight="false" outlineLevel="0" collapsed="false">
      <c r="A59" s="20"/>
      <c r="B59" s="15" t="s">
        <v>92</v>
      </c>
      <c r="C59" s="15" t="s">
        <v>97</v>
      </c>
      <c r="D59" s="21" t="s">
        <v>25</v>
      </c>
      <c r="E59" s="19"/>
      <c r="F59" s="19"/>
      <c r="G59" s="19"/>
    </row>
    <row r="60" customFormat="false" ht="23.85" hidden="false" customHeight="false" outlineLevel="0" collapsed="false">
      <c r="A60" s="20"/>
      <c r="B60" s="15" t="s">
        <v>92</v>
      </c>
      <c r="C60" s="15" t="s">
        <v>98</v>
      </c>
      <c r="D60" s="21" t="s">
        <v>25</v>
      </c>
      <c r="E60" s="19"/>
      <c r="F60" s="19"/>
      <c r="G60" s="19"/>
    </row>
    <row r="61" customFormat="false" ht="23.85" hidden="false" customHeight="false" outlineLevel="0" collapsed="false">
      <c r="A61" s="20"/>
      <c r="B61" s="15" t="s">
        <v>99</v>
      </c>
      <c r="C61" s="15" t="s">
        <v>100</v>
      </c>
      <c r="D61" s="21" t="s">
        <v>25</v>
      </c>
      <c r="E61" s="19"/>
      <c r="F61" s="19"/>
      <c r="G61" s="19"/>
    </row>
    <row r="62" customFormat="false" ht="23.85" hidden="false" customHeight="false" outlineLevel="0" collapsed="false">
      <c r="A62" s="20"/>
      <c r="B62" s="15" t="s">
        <v>99</v>
      </c>
      <c r="C62" s="15" t="s">
        <v>101</v>
      </c>
      <c r="D62" s="21" t="s">
        <v>25</v>
      </c>
      <c r="E62" s="19"/>
      <c r="F62" s="19"/>
      <c r="G62" s="19"/>
    </row>
    <row r="63" customFormat="false" ht="23.85" hidden="false" customHeight="false" outlineLevel="0" collapsed="false">
      <c r="A63" s="20"/>
      <c r="B63" s="15" t="s">
        <v>99</v>
      </c>
      <c r="C63" s="15" t="s">
        <v>102</v>
      </c>
      <c r="D63" s="21" t="s">
        <v>25</v>
      </c>
      <c r="E63" s="19"/>
      <c r="F63" s="19"/>
      <c r="G63" s="19"/>
    </row>
    <row r="64" customFormat="false" ht="23.85" hidden="false" customHeight="false" outlineLevel="0" collapsed="false">
      <c r="A64" s="20"/>
      <c r="B64" s="15" t="s">
        <v>99</v>
      </c>
      <c r="C64" s="15" t="s">
        <v>103</v>
      </c>
      <c r="D64" s="21" t="s">
        <v>25</v>
      </c>
      <c r="E64" s="19"/>
      <c r="F64" s="19"/>
      <c r="G64" s="19"/>
    </row>
    <row r="65" customFormat="false" ht="23.85" hidden="false" customHeight="false" outlineLevel="0" collapsed="false">
      <c r="A65" s="20" t="s">
        <v>54</v>
      </c>
      <c r="B65" s="15" t="s">
        <v>69</v>
      </c>
      <c r="C65" s="15" t="s">
        <v>70</v>
      </c>
      <c r="D65" s="21" t="s">
        <v>25</v>
      </c>
      <c r="E65" s="19"/>
      <c r="F65" s="19"/>
      <c r="G65" s="19"/>
    </row>
    <row r="66" customFormat="false" ht="23.85" hidden="false" customHeight="false" outlineLevel="0" collapsed="false">
      <c r="A66" s="20"/>
      <c r="B66" s="15" t="s">
        <v>69</v>
      </c>
      <c r="C66" s="15" t="s">
        <v>71</v>
      </c>
      <c r="D66" s="21" t="s">
        <v>25</v>
      </c>
      <c r="E66" s="19"/>
      <c r="F66" s="19"/>
      <c r="G66" s="19"/>
    </row>
    <row r="67" customFormat="false" ht="23.85" hidden="false" customHeight="false" outlineLevel="0" collapsed="false">
      <c r="A67" s="20"/>
      <c r="B67" s="15" t="s">
        <v>69</v>
      </c>
      <c r="C67" s="15" t="s">
        <v>72</v>
      </c>
      <c r="D67" s="21" t="s">
        <v>25</v>
      </c>
      <c r="E67" s="19"/>
      <c r="F67" s="19"/>
      <c r="G67" s="19"/>
    </row>
    <row r="68" customFormat="false" ht="23.85" hidden="false" customHeight="false" outlineLevel="0" collapsed="false">
      <c r="A68" s="20"/>
      <c r="B68" s="15" t="s">
        <v>69</v>
      </c>
      <c r="C68" s="15" t="s">
        <v>73</v>
      </c>
      <c r="D68" s="21" t="s">
        <v>25</v>
      </c>
      <c r="E68" s="19"/>
      <c r="F68" s="19"/>
      <c r="G68" s="19"/>
    </row>
    <row r="69" customFormat="false" ht="23.85" hidden="false" customHeight="false" outlineLevel="0" collapsed="false">
      <c r="A69" s="20"/>
      <c r="B69" s="15" t="s">
        <v>69</v>
      </c>
      <c r="C69" s="15" t="s">
        <v>74</v>
      </c>
      <c r="D69" s="21" t="s">
        <v>25</v>
      </c>
      <c r="E69" s="19"/>
      <c r="F69" s="19"/>
      <c r="G69" s="19"/>
    </row>
    <row r="70" customFormat="false" ht="23.85" hidden="false" customHeight="false" outlineLevel="0" collapsed="false">
      <c r="A70" s="20"/>
      <c r="B70" s="15" t="s">
        <v>69</v>
      </c>
      <c r="C70" s="15" t="s">
        <v>75</v>
      </c>
      <c r="D70" s="21" t="s">
        <v>25</v>
      </c>
      <c r="E70" s="19"/>
      <c r="F70" s="19"/>
      <c r="G70" s="19"/>
    </row>
    <row r="71" customFormat="false" ht="23.85" hidden="false" customHeight="false" outlineLevel="0" collapsed="false">
      <c r="A71" s="20"/>
      <c r="B71" s="15" t="s">
        <v>76</v>
      </c>
      <c r="C71" s="15" t="s">
        <v>77</v>
      </c>
      <c r="D71" s="21" t="s">
        <v>25</v>
      </c>
      <c r="E71" s="19"/>
      <c r="F71" s="19"/>
      <c r="G71" s="19"/>
    </row>
    <row r="72" customFormat="false" ht="15" hidden="false" customHeight="false" outlineLevel="0" collapsed="false">
      <c r="A72" s="20"/>
      <c r="B72" s="15" t="s">
        <v>76</v>
      </c>
      <c r="C72" s="15" t="s">
        <v>78</v>
      </c>
      <c r="D72" s="21" t="s">
        <v>25</v>
      </c>
      <c r="E72" s="19"/>
      <c r="F72" s="19"/>
      <c r="G72" s="19"/>
    </row>
    <row r="73" customFormat="false" ht="15" hidden="false" customHeight="false" outlineLevel="0" collapsed="false">
      <c r="A73" s="20"/>
      <c r="B73" s="15" t="s">
        <v>76</v>
      </c>
      <c r="C73" s="15" t="s">
        <v>79</v>
      </c>
      <c r="D73" s="21" t="s">
        <v>25</v>
      </c>
      <c r="E73" s="19"/>
      <c r="F73" s="19"/>
      <c r="G73" s="19"/>
    </row>
    <row r="74" customFormat="false" ht="23.85" hidden="false" customHeight="false" outlineLevel="0" collapsed="false">
      <c r="A74" s="20"/>
      <c r="B74" s="15" t="s">
        <v>76</v>
      </c>
      <c r="C74" s="15" t="s">
        <v>80</v>
      </c>
      <c r="D74" s="21" t="s">
        <v>25</v>
      </c>
      <c r="E74" s="19"/>
      <c r="F74" s="19"/>
      <c r="G74" s="19"/>
    </row>
    <row r="75" customFormat="false" ht="15" hidden="false" customHeight="false" outlineLevel="0" collapsed="false">
      <c r="A75" s="20"/>
      <c r="B75" s="15" t="s">
        <v>76</v>
      </c>
      <c r="C75" s="15" t="s">
        <v>81</v>
      </c>
      <c r="D75" s="21" t="s">
        <v>25</v>
      </c>
      <c r="E75" s="19"/>
      <c r="F75" s="19"/>
      <c r="G75" s="19"/>
    </row>
    <row r="76" customFormat="false" ht="23.85" hidden="false" customHeight="false" outlineLevel="0" collapsed="false">
      <c r="A76" s="20"/>
      <c r="B76" s="15" t="s">
        <v>76</v>
      </c>
      <c r="C76" s="15" t="s">
        <v>82</v>
      </c>
      <c r="D76" s="21" t="s">
        <v>25</v>
      </c>
      <c r="E76" s="19"/>
      <c r="F76" s="19"/>
      <c r="G76" s="19"/>
    </row>
    <row r="77" customFormat="false" ht="15" hidden="false" customHeight="false" outlineLevel="0" collapsed="false">
      <c r="A77" s="20"/>
      <c r="B77" s="15" t="s">
        <v>76</v>
      </c>
      <c r="C77" s="15" t="s">
        <v>83</v>
      </c>
      <c r="D77" s="21" t="s">
        <v>25</v>
      </c>
      <c r="E77" s="19"/>
      <c r="F77" s="19"/>
      <c r="G77" s="19"/>
    </row>
    <row r="78" customFormat="false" ht="23.85" hidden="false" customHeight="false" outlineLevel="0" collapsed="false">
      <c r="A78" s="20"/>
      <c r="B78" s="15" t="s">
        <v>84</v>
      </c>
      <c r="C78" s="15" t="s">
        <v>85</v>
      </c>
      <c r="D78" s="21" t="s">
        <v>25</v>
      </c>
      <c r="E78" s="19"/>
      <c r="F78" s="19"/>
      <c r="G78" s="19"/>
    </row>
    <row r="79" customFormat="false" ht="23.85" hidden="false" customHeight="false" outlineLevel="0" collapsed="false">
      <c r="A79" s="20"/>
      <c r="B79" s="15" t="s">
        <v>84</v>
      </c>
      <c r="C79" s="15" t="s">
        <v>86</v>
      </c>
      <c r="D79" s="21" t="s">
        <v>25</v>
      </c>
      <c r="E79" s="19"/>
      <c r="F79" s="19"/>
      <c r="G79" s="19"/>
    </row>
    <row r="80" customFormat="false" ht="23.85" hidden="false" customHeight="false" outlineLevel="0" collapsed="false">
      <c r="A80" s="20"/>
      <c r="B80" s="15" t="s">
        <v>84</v>
      </c>
      <c r="C80" s="15" t="s">
        <v>87</v>
      </c>
      <c r="D80" s="21" t="s">
        <v>25</v>
      </c>
      <c r="E80" s="19"/>
      <c r="F80" s="19"/>
      <c r="G80" s="19"/>
    </row>
    <row r="81" customFormat="false" ht="23.85" hidden="false" customHeight="false" outlineLevel="0" collapsed="false">
      <c r="A81" s="20"/>
      <c r="B81" s="15" t="s">
        <v>84</v>
      </c>
      <c r="C81" s="15" t="s">
        <v>88</v>
      </c>
      <c r="D81" s="21" t="s">
        <v>25</v>
      </c>
      <c r="E81" s="19"/>
      <c r="F81" s="19"/>
      <c r="G81" s="19"/>
    </row>
    <row r="82" customFormat="false" ht="23.85" hidden="false" customHeight="false" outlineLevel="0" collapsed="false">
      <c r="A82" s="20"/>
      <c r="B82" s="15" t="s">
        <v>84</v>
      </c>
      <c r="C82" s="15" t="s">
        <v>89</v>
      </c>
      <c r="D82" s="21" t="s">
        <v>25</v>
      </c>
      <c r="E82" s="19"/>
      <c r="F82" s="19"/>
      <c r="G82" s="19"/>
    </row>
    <row r="83" customFormat="false" ht="23.85" hidden="false" customHeight="false" outlineLevel="0" collapsed="false">
      <c r="A83" s="20"/>
      <c r="B83" s="15" t="s">
        <v>84</v>
      </c>
      <c r="C83" s="15" t="s">
        <v>90</v>
      </c>
      <c r="D83" s="21" t="s">
        <v>25</v>
      </c>
      <c r="E83" s="19"/>
      <c r="F83" s="19"/>
      <c r="G83" s="19"/>
    </row>
    <row r="84" customFormat="false" ht="23.85" hidden="false" customHeight="false" outlineLevel="0" collapsed="false">
      <c r="A84" s="20"/>
      <c r="B84" s="15" t="s">
        <v>84</v>
      </c>
      <c r="C84" s="15" t="s">
        <v>91</v>
      </c>
      <c r="D84" s="21" t="s">
        <v>25</v>
      </c>
      <c r="E84" s="19"/>
      <c r="F84" s="19"/>
      <c r="G84" s="19"/>
    </row>
    <row r="85" customFormat="false" ht="15" hidden="false" customHeight="false" outlineLevel="0" collapsed="false">
      <c r="A85" s="20"/>
      <c r="B85" s="15" t="s">
        <v>92</v>
      </c>
      <c r="C85" s="15" t="s">
        <v>93</v>
      </c>
      <c r="D85" s="21" t="s">
        <v>25</v>
      </c>
      <c r="E85" s="19"/>
      <c r="F85" s="19"/>
      <c r="G85" s="19"/>
    </row>
    <row r="86" customFormat="false" ht="23.85" hidden="false" customHeight="false" outlineLevel="0" collapsed="false">
      <c r="A86" s="20"/>
      <c r="B86" s="15" t="s">
        <v>92</v>
      </c>
      <c r="C86" s="15" t="s">
        <v>94</v>
      </c>
      <c r="D86" s="21" t="s">
        <v>25</v>
      </c>
      <c r="E86" s="19"/>
      <c r="F86" s="19"/>
      <c r="G86" s="19"/>
    </row>
    <row r="87" customFormat="false" ht="15" hidden="false" customHeight="false" outlineLevel="0" collapsed="false">
      <c r="A87" s="20"/>
      <c r="B87" s="15" t="s">
        <v>92</v>
      </c>
      <c r="C87" s="15" t="s">
        <v>95</v>
      </c>
      <c r="D87" s="21" t="s">
        <v>25</v>
      </c>
      <c r="E87" s="19"/>
      <c r="F87" s="19"/>
      <c r="G87" s="19"/>
    </row>
    <row r="88" customFormat="false" ht="23.85" hidden="false" customHeight="false" outlineLevel="0" collapsed="false">
      <c r="A88" s="20"/>
      <c r="B88" s="15" t="s">
        <v>92</v>
      </c>
      <c r="C88" s="15" t="s">
        <v>96</v>
      </c>
      <c r="D88" s="21" t="s">
        <v>25</v>
      </c>
      <c r="E88" s="19"/>
      <c r="F88" s="19"/>
      <c r="G88" s="19"/>
    </row>
    <row r="89" customFormat="false" ht="23.85" hidden="false" customHeight="false" outlineLevel="0" collapsed="false">
      <c r="A89" s="20"/>
      <c r="B89" s="15" t="s">
        <v>92</v>
      </c>
      <c r="C89" s="15" t="s">
        <v>97</v>
      </c>
      <c r="D89" s="21" t="s">
        <v>25</v>
      </c>
      <c r="E89" s="19"/>
      <c r="F89" s="19"/>
      <c r="G89" s="19"/>
    </row>
    <row r="90" customFormat="false" ht="23.85" hidden="false" customHeight="false" outlineLevel="0" collapsed="false">
      <c r="A90" s="20"/>
      <c r="B90" s="15" t="s">
        <v>92</v>
      </c>
      <c r="C90" s="15" t="s">
        <v>98</v>
      </c>
      <c r="D90" s="21" t="s">
        <v>25</v>
      </c>
      <c r="E90" s="19"/>
      <c r="F90" s="19"/>
      <c r="G90" s="19"/>
    </row>
    <row r="91" customFormat="false" ht="23.85" hidden="false" customHeight="false" outlineLevel="0" collapsed="false">
      <c r="A91" s="20"/>
      <c r="B91" s="15" t="s">
        <v>99</v>
      </c>
      <c r="C91" s="15" t="s">
        <v>100</v>
      </c>
      <c r="D91" s="21" t="s">
        <v>25</v>
      </c>
      <c r="E91" s="19"/>
      <c r="F91" s="19"/>
      <c r="G91" s="19"/>
    </row>
    <row r="92" customFormat="false" ht="23.85" hidden="false" customHeight="false" outlineLevel="0" collapsed="false">
      <c r="A92" s="20"/>
      <c r="B92" s="15" t="s">
        <v>99</v>
      </c>
      <c r="C92" s="15" t="s">
        <v>101</v>
      </c>
      <c r="D92" s="21" t="s">
        <v>25</v>
      </c>
      <c r="E92" s="19"/>
      <c r="F92" s="19"/>
      <c r="G92" s="19"/>
    </row>
    <row r="93" customFormat="false" ht="23.85" hidden="false" customHeight="false" outlineLevel="0" collapsed="false">
      <c r="A93" s="20"/>
      <c r="B93" s="15" t="s">
        <v>99</v>
      </c>
      <c r="C93" s="15" t="s">
        <v>102</v>
      </c>
      <c r="D93" s="21" t="s">
        <v>25</v>
      </c>
      <c r="E93" s="19"/>
      <c r="F93" s="19"/>
      <c r="G93" s="19"/>
    </row>
    <row r="94" customFormat="false" ht="23.85" hidden="false" customHeight="false" outlineLevel="0" collapsed="false">
      <c r="A94" s="20"/>
      <c r="B94" s="15" t="s">
        <v>99</v>
      </c>
      <c r="C94" s="15" t="s">
        <v>103</v>
      </c>
      <c r="D94" s="21" t="s">
        <v>25</v>
      </c>
      <c r="E94" s="19"/>
      <c r="F94" s="19"/>
      <c r="G94" s="19"/>
    </row>
    <row r="95" customFormat="false" ht="23.85" hidden="false" customHeight="false" outlineLevel="0" collapsed="false">
      <c r="A95" s="20" t="s">
        <v>55</v>
      </c>
      <c r="B95" s="15" t="s">
        <v>69</v>
      </c>
      <c r="C95" s="15" t="s">
        <v>70</v>
      </c>
      <c r="D95" s="21" t="s">
        <v>25</v>
      </c>
      <c r="E95" s="19"/>
      <c r="F95" s="19"/>
      <c r="G95" s="19"/>
    </row>
    <row r="96" customFormat="false" ht="23.85" hidden="false" customHeight="false" outlineLevel="0" collapsed="false">
      <c r="A96" s="20"/>
      <c r="B96" s="15" t="s">
        <v>69</v>
      </c>
      <c r="C96" s="15" t="s">
        <v>71</v>
      </c>
      <c r="D96" s="21" t="s">
        <v>25</v>
      </c>
      <c r="E96" s="19"/>
      <c r="F96" s="19"/>
      <c r="G96" s="19"/>
    </row>
    <row r="97" customFormat="false" ht="23.85" hidden="false" customHeight="false" outlineLevel="0" collapsed="false">
      <c r="A97" s="20"/>
      <c r="B97" s="15" t="s">
        <v>69</v>
      </c>
      <c r="C97" s="15" t="s">
        <v>72</v>
      </c>
      <c r="D97" s="21" t="s">
        <v>25</v>
      </c>
      <c r="E97" s="19"/>
      <c r="F97" s="19"/>
      <c r="G97" s="19"/>
    </row>
    <row r="98" customFormat="false" ht="23.85" hidden="false" customHeight="false" outlineLevel="0" collapsed="false">
      <c r="A98" s="20"/>
      <c r="B98" s="15" t="s">
        <v>69</v>
      </c>
      <c r="C98" s="15" t="s">
        <v>73</v>
      </c>
      <c r="D98" s="21" t="s">
        <v>25</v>
      </c>
      <c r="E98" s="19"/>
      <c r="F98" s="19"/>
      <c r="G98" s="19"/>
    </row>
    <row r="99" customFormat="false" ht="23.85" hidden="false" customHeight="false" outlineLevel="0" collapsed="false">
      <c r="A99" s="20"/>
      <c r="B99" s="15" t="s">
        <v>69</v>
      </c>
      <c r="C99" s="15" t="s">
        <v>74</v>
      </c>
      <c r="D99" s="21" t="s">
        <v>25</v>
      </c>
      <c r="E99" s="19"/>
      <c r="F99" s="19"/>
      <c r="G99" s="19"/>
    </row>
    <row r="100" customFormat="false" ht="23.85" hidden="false" customHeight="false" outlineLevel="0" collapsed="false">
      <c r="A100" s="20"/>
      <c r="B100" s="15" t="s">
        <v>69</v>
      </c>
      <c r="C100" s="15" t="s">
        <v>75</v>
      </c>
      <c r="D100" s="21" t="s">
        <v>25</v>
      </c>
      <c r="E100" s="19"/>
      <c r="F100" s="19"/>
      <c r="G100" s="19"/>
    </row>
    <row r="101" customFormat="false" ht="23.85" hidden="false" customHeight="false" outlineLevel="0" collapsed="false">
      <c r="A101" s="20"/>
      <c r="B101" s="15" t="s">
        <v>76</v>
      </c>
      <c r="C101" s="15" t="s">
        <v>77</v>
      </c>
      <c r="D101" s="21" t="s">
        <v>25</v>
      </c>
      <c r="E101" s="19"/>
      <c r="F101" s="19"/>
      <c r="G101" s="19"/>
    </row>
    <row r="102" customFormat="false" ht="15" hidden="false" customHeight="false" outlineLevel="0" collapsed="false">
      <c r="A102" s="20"/>
      <c r="B102" s="15" t="s">
        <v>76</v>
      </c>
      <c r="C102" s="15" t="s">
        <v>78</v>
      </c>
      <c r="D102" s="21" t="s">
        <v>25</v>
      </c>
      <c r="E102" s="19"/>
      <c r="F102" s="19"/>
      <c r="G102" s="19"/>
    </row>
    <row r="103" customFormat="false" ht="15" hidden="false" customHeight="false" outlineLevel="0" collapsed="false">
      <c r="A103" s="20"/>
      <c r="B103" s="15" t="s">
        <v>76</v>
      </c>
      <c r="C103" s="15" t="s">
        <v>79</v>
      </c>
      <c r="D103" s="21" t="s">
        <v>25</v>
      </c>
      <c r="E103" s="19"/>
      <c r="F103" s="19"/>
      <c r="G103" s="19"/>
    </row>
    <row r="104" customFormat="false" ht="23.85" hidden="false" customHeight="false" outlineLevel="0" collapsed="false">
      <c r="A104" s="20"/>
      <c r="B104" s="15" t="s">
        <v>76</v>
      </c>
      <c r="C104" s="15" t="s">
        <v>80</v>
      </c>
      <c r="D104" s="21" t="s">
        <v>25</v>
      </c>
      <c r="E104" s="19"/>
      <c r="F104" s="19"/>
      <c r="G104" s="19"/>
    </row>
    <row r="105" customFormat="false" ht="15" hidden="false" customHeight="false" outlineLevel="0" collapsed="false">
      <c r="A105" s="20"/>
      <c r="B105" s="15" t="s">
        <v>76</v>
      </c>
      <c r="C105" s="15" t="s">
        <v>81</v>
      </c>
      <c r="D105" s="21" t="s">
        <v>25</v>
      </c>
      <c r="E105" s="19"/>
      <c r="F105" s="19"/>
      <c r="G105" s="19"/>
    </row>
    <row r="106" customFormat="false" ht="23.85" hidden="false" customHeight="false" outlineLevel="0" collapsed="false">
      <c r="A106" s="20"/>
      <c r="B106" s="15" t="s">
        <v>76</v>
      </c>
      <c r="C106" s="15" t="s">
        <v>82</v>
      </c>
      <c r="D106" s="21" t="s">
        <v>25</v>
      </c>
      <c r="E106" s="19"/>
      <c r="F106" s="19"/>
      <c r="G106" s="19"/>
    </row>
    <row r="107" customFormat="false" ht="15" hidden="false" customHeight="false" outlineLevel="0" collapsed="false">
      <c r="A107" s="20"/>
      <c r="B107" s="15" t="s">
        <v>76</v>
      </c>
      <c r="C107" s="15" t="s">
        <v>83</v>
      </c>
      <c r="D107" s="21" t="s">
        <v>25</v>
      </c>
      <c r="E107" s="19"/>
      <c r="F107" s="19"/>
      <c r="G107" s="19"/>
    </row>
    <row r="108" customFormat="false" ht="23.85" hidden="false" customHeight="false" outlineLevel="0" collapsed="false">
      <c r="A108" s="20"/>
      <c r="B108" s="15" t="s">
        <v>84</v>
      </c>
      <c r="C108" s="15" t="s">
        <v>85</v>
      </c>
      <c r="D108" s="21" t="s">
        <v>25</v>
      </c>
      <c r="E108" s="19"/>
      <c r="F108" s="19"/>
      <c r="G108" s="19"/>
    </row>
    <row r="109" customFormat="false" ht="23.85" hidden="false" customHeight="false" outlineLevel="0" collapsed="false">
      <c r="A109" s="20"/>
      <c r="B109" s="15" t="s">
        <v>84</v>
      </c>
      <c r="C109" s="15" t="s">
        <v>86</v>
      </c>
      <c r="D109" s="21" t="s">
        <v>25</v>
      </c>
      <c r="E109" s="19"/>
      <c r="F109" s="19"/>
      <c r="G109" s="19"/>
    </row>
    <row r="110" customFormat="false" ht="23.85" hidden="false" customHeight="false" outlineLevel="0" collapsed="false">
      <c r="A110" s="20"/>
      <c r="B110" s="15" t="s">
        <v>84</v>
      </c>
      <c r="C110" s="15" t="s">
        <v>87</v>
      </c>
      <c r="D110" s="21" t="s">
        <v>25</v>
      </c>
      <c r="E110" s="19"/>
      <c r="F110" s="19"/>
      <c r="G110" s="19"/>
    </row>
    <row r="111" customFormat="false" ht="23.85" hidden="false" customHeight="false" outlineLevel="0" collapsed="false">
      <c r="A111" s="20"/>
      <c r="B111" s="15" t="s">
        <v>84</v>
      </c>
      <c r="C111" s="15" t="s">
        <v>88</v>
      </c>
      <c r="D111" s="21" t="s">
        <v>25</v>
      </c>
      <c r="E111" s="19"/>
      <c r="F111" s="19"/>
      <c r="G111" s="19"/>
    </row>
    <row r="112" customFormat="false" ht="23.85" hidden="false" customHeight="false" outlineLevel="0" collapsed="false">
      <c r="A112" s="20"/>
      <c r="B112" s="15" t="s">
        <v>84</v>
      </c>
      <c r="C112" s="15" t="s">
        <v>89</v>
      </c>
      <c r="D112" s="21" t="s">
        <v>25</v>
      </c>
      <c r="E112" s="19"/>
      <c r="F112" s="19"/>
      <c r="G112" s="19"/>
    </row>
    <row r="113" customFormat="false" ht="23.85" hidden="false" customHeight="false" outlineLevel="0" collapsed="false">
      <c r="A113" s="20"/>
      <c r="B113" s="15" t="s">
        <v>84</v>
      </c>
      <c r="C113" s="15" t="s">
        <v>90</v>
      </c>
      <c r="D113" s="21" t="s">
        <v>25</v>
      </c>
      <c r="E113" s="19"/>
      <c r="F113" s="19"/>
      <c r="G113" s="19"/>
    </row>
    <row r="114" customFormat="false" ht="23.85" hidden="false" customHeight="false" outlineLevel="0" collapsed="false">
      <c r="A114" s="20"/>
      <c r="B114" s="15" t="s">
        <v>84</v>
      </c>
      <c r="C114" s="15" t="s">
        <v>91</v>
      </c>
      <c r="D114" s="21" t="s">
        <v>25</v>
      </c>
      <c r="E114" s="19"/>
      <c r="F114" s="19"/>
      <c r="G114" s="19"/>
    </row>
    <row r="115" customFormat="false" ht="15" hidden="false" customHeight="false" outlineLevel="0" collapsed="false">
      <c r="A115" s="20"/>
      <c r="B115" s="15" t="s">
        <v>92</v>
      </c>
      <c r="C115" s="15" t="s">
        <v>93</v>
      </c>
      <c r="D115" s="21" t="s">
        <v>25</v>
      </c>
      <c r="E115" s="19"/>
      <c r="F115" s="19"/>
      <c r="G115" s="19"/>
    </row>
    <row r="116" customFormat="false" ht="23.85" hidden="false" customHeight="false" outlineLevel="0" collapsed="false">
      <c r="A116" s="20"/>
      <c r="B116" s="15" t="s">
        <v>92</v>
      </c>
      <c r="C116" s="15" t="s">
        <v>94</v>
      </c>
      <c r="D116" s="21" t="s">
        <v>25</v>
      </c>
      <c r="E116" s="19"/>
      <c r="F116" s="19"/>
      <c r="G116" s="19"/>
    </row>
    <row r="117" customFormat="false" ht="15" hidden="false" customHeight="false" outlineLevel="0" collapsed="false">
      <c r="A117" s="20"/>
      <c r="B117" s="15" t="s">
        <v>92</v>
      </c>
      <c r="C117" s="15" t="s">
        <v>95</v>
      </c>
      <c r="D117" s="21" t="s">
        <v>25</v>
      </c>
      <c r="E117" s="19"/>
      <c r="F117" s="19"/>
      <c r="G117" s="19"/>
    </row>
    <row r="118" customFormat="false" ht="23.85" hidden="false" customHeight="false" outlineLevel="0" collapsed="false">
      <c r="A118" s="20"/>
      <c r="B118" s="15" t="s">
        <v>92</v>
      </c>
      <c r="C118" s="15" t="s">
        <v>96</v>
      </c>
      <c r="D118" s="21" t="s">
        <v>25</v>
      </c>
      <c r="E118" s="19"/>
      <c r="F118" s="19"/>
      <c r="G118" s="19"/>
    </row>
    <row r="119" customFormat="false" ht="23.85" hidden="false" customHeight="false" outlineLevel="0" collapsed="false">
      <c r="A119" s="20"/>
      <c r="B119" s="15" t="s">
        <v>92</v>
      </c>
      <c r="C119" s="15" t="s">
        <v>97</v>
      </c>
      <c r="D119" s="21" t="s">
        <v>25</v>
      </c>
      <c r="E119" s="19"/>
      <c r="F119" s="19"/>
      <c r="G119" s="19"/>
    </row>
    <row r="120" customFormat="false" ht="23.85" hidden="false" customHeight="false" outlineLevel="0" collapsed="false">
      <c r="A120" s="20"/>
      <c r="B120" s="15" t="s">
        <v>92</v>
      </c>
      <c r="C120" s="15" t="s">
        <v>98</v>
      </c>
      <c r="D120" s="21" t="s">
        <v>25</v>
      </c>
      <c r="E120" s="19"/>
      <c r="F120" s="19"/>
      <c r="G120" s="19"/>
    </row>
    <row r="121" customFormat="false" ht="23.85" hidden="false" customHeight="false" outlineLevel="0" collapsed="false">
      <c r="A121" s="20"/>
      <c r="B121" s="15" t="s">
        <v>99</v>
      </c>
      <c r="C121" s="15" t="s">
        <v>100</v>
      </c>
      <c r="D121" s="21" t="s">
        <v>25</v>
      </c>
      <c r="E121" s="19"/>
      <c r="F121" s="19"/>
      <c r="G121" s="19"/>
    </row>
    <row r="122" customFormat="false" ht="23.85" hidden="false" customHeight="false" outlineLevel="0" collapsed="false">
      <c r="A122" s="20"/>
      <c r="B122" s="15" t="s">
        <v>99</v>
      </c>
      <c r="C122" s="15" t="s">
        <v>101</v>
      </c>
      <c r="D122" s="21" t="s">
        <v>25</v>
      </c>
      <c r="E122" s="19"/>
      <c r="F122" s="19"/>
      <c r="G122" s="19"/>
    </row>
    <row r="123" customFormat="false" ht="23.85" hidden="false" customHeight="false" outlineLevel="0" collapsed="false">
      <c r="A123" s="20"/>
      <c r="B123" s="15" t="s">
        <v>99</v>
      </c>
      <c r="C123" s="15" t="s">
        <v>102</v>
      </c>
      <c r="D123" s="21" t="s">
        <v>25</v>
      </c>
      <c r="E123" s="19"/>
      <c r="F123" s="19"/>
      <c r="G123" s="19"/>
    </row>
    <row r="124" customFormat="false" ht="23.85" hidden="false" customHeight="false" outlineLevel="0" collapsed="false">
      <c r="A124" s="20"/>
      <c r="B124" s="15" t="s">
        <v>99</v>
      </c>
      <c r="C124" s="15" t="s">
        <v>103</v>
      </c>
      <c r="D124" s="21" t="s">
        <v>25</v>
      </c>
      <c r="E124" s="19"/>
      <c r="F124" s="19"/>
      <c r="G124" s="19"/>
    </row>
    <row r="125" customFormat="false" ht="23.85" hidden="false" customHeight="false" outlineLevel="0" collapsed="false">
      <c r="A125" s="20" t="s">
        <v>56</v>
      </c>
      <c r="B125" s="15" t="s">
        <v>69</v>
      </c>
      <c r="C125" s="15" t="s">
        <v>70</v>
      </c>
      <c r="D125" s="21" t="s">
        <v>25</v>
      </c>
      <c r="E125" s="19"/>
      <c r="F125" s="19"/>
      <c r="G125" s="19"/>
    </row>
    <row r="126" customFormat="false" ht="23.85" hidden="false" customHeight="false" outlineLevel="0" collapsed="false">
      <c r="A126" s="20"/>
      <c r="B126" s="15" t="s">
        <v>69</v>
      </c>
      <c r="C126" s="15" t="s">
        <v>71</v>
      </c>
      <c r="D126" s="21" t="s">
        <v>25</v>
      </c>
      <c r="E126" s="19"/>
      <c r="F126" s="19"/>
      <c r="G126" s="19"/>
    </row>
    <row r="127" customFormat="false" ht="23.85" hidden="false" customHeight="false" outlineLevel="0" collapsed="false">
      <c r="A127" s="20"/>
      <c r="B127" s="15" t="s">
        <v>69</v>
      </c>
      <c r="C127" s="15" t="s">
        <v>72</v>
      </c>
      <c r="D127" s="21" t="s">
        <v>25</v>
      </c>
      <c r="E127" s="19"/>
      <c r="F127" s="19"/>
      <c r="G127" s="19"/>
    </row>
    <row r="128" customFormat="false" ht="23.85" hidden="false" customHeight="false" outlineLevel="0" collapsed="false">
      <c r="A128" s="20"/>
      <c r="B128" s="15" t="s">
        <v>69</v>
      </c>
      <c r="C128" s="15" t="s">
        <v>73</v>
      </c>
      <c r="D128" s="21" t="s">
        <v>25</v>
      </c>
      <c r="E128" s="19"/>
      <c r="F128" s="19"/>
      <c r="G128" s="19"/>
    </row>
    <row r="129" customFormat="false" ht="23.85" hidden="false" customHeight="false" outlineLevel="0" collapsed="false">
      <c r="A129" s="20"/>
      <c r="B129" s="15" t="s">
        <v>69</v>
      </c>
      <c r="C129" s="15" t="s">
        <v>74</v>
      </c>
      <c r="D129" s="21" t="s">
        <v>25</v>
      </c>
      <c r="E129" s="19"/>
      <c r="F129" s="19"/>
      <c r="G129" s="19"/>
    </row>
    <row r="130" customFormat="false" ht="23.85" hidden="false" customHeight="false" outlineLevel="0" collapsed="false">
      <c r="A130" s="20"/>
      <c r="B130" s="15" t="s">
        <v>69</v>
      </c>
      <c r="C130" s="15" t="s">
        <v>75</v>
      </c>
      <c r="D130" s="21" t="s">
        <v>25</v>
      </c>
      <c r="E130" s="19"/>
      <c r="F130" s="19"/>
      <c r="G130" s="19"/>
    </row>
    <row r="131" customFormat="false" ht="23.85" hidden="false" customHeight="false" outlineLevel="0" collapsed="false">
      <c r="A131" s="20"/>
      <c r="B131" s="15" t="s">
        <v>76</v>
      </c>
      <c r="C131" s="15" t="s">
        <v>77</v>
      </c>
      <c r="D131" s="21" t="s">
        <v>25</v>
      </c>
      <c r="E131" s="19"/>
      <c r="F131" s="19"/>
      <c r="G131" s="19"/>
    </row>
    <row r="132" customFormat="false" ht="15" hidden="false" customHeight="false" outlineLevel="0" collapsed="false">
      <c r="A132" s="20"/>
      <c r="B132" s="15" t="s">
        <v>76</v>
      </c>
      <c r="C132" s="15" t="s">
        <v>78</v>
      </c>
      <c r="D132" s="21" t="s">
        <v>25</v>
      </c>
      <c r="E132" s="19"/>
      <c r="F132" s="19"/>
      <c r="G132" s="19"/>
    </row>
    <row r="133" customFormat="false" ht="15" hidden="false" customHeight="false" outlineLevel="0" collapsed="false">
      <c r="A133" s="20"/>
      <c r="B133" s="15" t="s">
        <v>76</v>
      </c>
      <c r="C133" s="15" t="s">
        <v>79</v>
      </c>
      <c r="D133" s="21" t="s">
        <v>25</v>
      </c>
      <c r="E133" s="19"/>
      <c r="F133" s="19"/>
      <c r="G133" s="19"/>
    </row>
    <row r="134" customFormat="false" ht="23.85" hidden="false" customHeight="false" outlineLevel="0" collapsed="false">
      <c r="A134" s="20"/>
      <c r="B134" s="15" t="s">
        <v>76</v>
      </c>
      <c r="C134" s="15" t="s">
        <v>80</v>
      </c>
      <c r="D134" s="21" t="s">
        <v>25</v>
      </c>
      <c r="E134" s="19"/>
      <c r="F134" s="19"/>
      <c r="G134" s="19"/>
    </row>
    <row r="135" customFormat="false" ht="15" hidden="false" customHeight="false" outlineLevel="0" collapsed="false">
      <c r="A135" s="20"/>
      <c r="B135" s="15" t="s">
        <v>76</v>
      </c>
      <c r="C135" s="15" t="s">
        <v>81</v>
      </c>
      <c r="D135" s="21" t="s">
        <v>25</v>
      </c>
      <c r="E135" s="19"/>
      <c r="F135" s="19"/>
      <c r="G135" s="19"/>
    </row>
    <row r="136" customFormat="false" ht="23.85" hidden="false" customHeight="false" outlineLevel="0" collapsed="false">
      <c r="A136" s="20"/>
      <c r="B136" s="15" t="s">
        <v>76</v>
      </c>
      <c r="C136" s="15" t="s">
        <v>82</v>
      </c>
      <c r="D136" s="21" t="s">
        <v>25</v>
      </c>
      <c r="E136" s="19"/>
      <c r="F136" s="19"/>
      <c r="G136" s="19"/>
    </row>
    <row r="137" customFormat="false" ht="15" hidden="false" customHeight="false" outlineLevel="0" collapsed="false">
      <c r="A137" s="20"/>
      <c r="B137" s="15" t="s">
        <v>76</v>
      </c>
      <c r="C137" s="15" t="s">
        <v>83</v>
      </c>
      <c r="D137" s="21" t="s">
        <v>25</v>
      </c>
      <c r="E137" s="19"/>
      <c r="F137" s="19"/>
      <c r="G137" s="19"/>
    </row>
    <row r="138" customFormat="false" ht="23.85" hidden="false" customHeight="false" outlineLevel="0" collapsed="false">
      <c r="A138" s="20"/>
      <c r="B138" s="15" t="s">
        <v>84</v>
      </c>
      <c r="C138" s="15" t="s">
        <v>85</v>
      </c>
      <c r="D138" s="21" t="s">
        <v>25</v>
      </c>
      <c r="E138" s="19"/>
      <c r="F138" s="19"/>
      <c r="G138" s="19"/>
    </row>
    <row r="139" customFormat="false" ht="23.85" hidden="false" customHeight="false" outlineLevel="0" collapsed="false">
      <c r="A139" s="20"/>
      <c r="B139" s="15" t="s">
        <v>84</v>
      </c>
      <c r="C139" s="15" t="s">
        <v>86</v>
      </c>
      <c r="D139" s="21" t="s">
        <v>25</v>
      </c>
      <c r="E139" s="19"/>
      <c r="F139" s="19"/>
      <c r="G139" s="19"/>
    </row>
    <row r="140" customFormat="false" ht="23.85" hidden="false" customHeight="false" outlineLevel="0" collapsed="false">
      <c r="A140" s="20"/>
      <c r="B140" s="15" t="s">
        <v>84</v>
      </c>
      <c r="C140" s="15" t="s">
        <v>87</v>
      </c>
      <c r="D140" s="21" t="s">
        <v>25</v>
      </c>
      <c r="E140" s="19"/>
      <c r="F140" s="19"/>
      <c r="G140" s="19"/>
    </row>
    <row r="141" customFormat="false" ht="23.85" hidden="false" customHeight="false" outlineLevel="0" collapsed="false">
      <c r="A141" s="20"/>
      <c r="B141" s="15" t="s">
        <v>84</v>
      </c>
      <c r="C141" s="15" t="s">
        <v>88</v>
      </c>
      <c r="D141" s="21" t="s">
        <v>25</v>
      </c>
      <c r="E141" s="19"/>
      <c r="F141" s="19"/>
      <c r="G141" s="19"/>
    </row>
    <row r="142" customFormat="false" ht="23.85" hidden="false" customHeight="false" outlineLevel="0" collapsed="false">
      <c r="A142" s="20"/>
      <c r="B142" s="15" t="s">
        <v>84</v>
      </c>
      <c r="C142" s="15" t="s">
        <v>89</v>
      </c>
      <c r="D142" s="21" t="s">
        <v>25</v>
      </c>
      <c r="E142" s="19"/>
      <c r="F142" s="19"/>
      <c r="G142" s="19"/>
    </row>
    <row r="143" customFormat="false" ht="23.85" hidden="false" customHeight="false" outlineLevel="0" collapsed="false">
      <c r="A143" s="20"/>
      <c r="B143" s="15" t="s">
        <v>84</v>
      </c>
      <c r="C143" s="15" t="s">
        <v>90</v>
      </c>
      <c r="D143" s="21" t="s">
        <v>25</v>
      </c>
      <c r="E143" s="19"/>
      <c r="F143" s="19"/>
      <c r="G143" s="19"/>
    </row>
    <row r="144" customFormat="false" ht="23.85" hidden="false" customHeight="false" outlineLevel="0" collapsed="false">
      <c r="A144" s="20"/>
      <c r="B144" s="15" t="s">
        <v>84</v>
      </c>
      <c r="C144" s="15" t="s">
        <v>91</v>
      </c>
      <c r="D144" s="21" t="s">
        <v>25</v>
      </c>
      <c r="E144" s="19"/>
      <c r="F144" s="19"/>
      <c r="G144" s="19"/>
    </row>
    <row r="145" customFormat="false" ht="15" hidden="false" customHeight="false" outlineLevel="0" collapsed="false">
      <c r="A145" s="20"/>
      <c r="B145" s="15" t="s">
        <v>92</v>
      </c>
      <c r="C145" s="15" t="s">
        <v>93</v>
      </c>
      <c r="D145" s="21" t="s">
        <v>25</v>
      </c>
      <c r="E145" s="19"/>
      <c r="F145" s="19"/>
      <c r="G145" s="19"/>
    </row>
    <row r="146" customFormat="false" ht="23.85" hidden="false" customHeight="false" outlineLevel="0" collapsed="false">
      <c r="A146" s="20"/>
      <c r="B146" s="15" t="s">
        <v>92</v>
      </c>
      <c r="C146" s="15" t="s">
        <v>94</v>
      </c>
      <c r="D146" s="21" t="s">
        <v>25</v>
      </c>
      <c r="E146" s="19"/>
      <c r="F146" s="19"/>
      <c r="G146" s="19"/>
    </row>
    <row r="147" customFormat="false" ht="15" hidden="false" customHeight="false" outlineLevel="0" collapsed="false">
      <c r="A147" s="20"/>
      <c r="B147" s="15" t="s">
        <v>92</v>
      </c>
      <c r="C147" s="15" t="s">
        <v>95</v>
      </c>
      <c r="D147" s="21" t="s">
        <v>25</v>
      </c>
      <c r="E147" s="19"/>
      <c r="F147" s="19"/>
      <c r="G147" s="19"/>
    </row>
    <row r="148" customFormat="false" ht="23.85" hidden="false" customHeight="false" outlineLevel="0" collapsed="false">
      <c r="A148" s="20"/>
      <c r="B148" s="15" t="s">
        <v>92</v>
      </c>
      <c r="C148" s="15" t="s">
        <v>96</v>
      </c>
      <c r="D148" s="21" t="s">
        <v>25</v>
      </c>
      <c r="E148" s="19"/>
      <c r="F148" s="19"/>
      <c r="G148" s="19"/>
    </row>
    <row r="149" customFormat="false" ht="23.85" hidden="false" customHeight="false" outlineLevel="0" collapsed="false">
      <c r="A149" s="20"/>
      <c r="B149" s="15" t="s">
        <v>92</v>
      </c>
      <c r="C149" s="15" t="s">
        <v>97</v>
      </c>
      <c r="D149" s="21" t="s">
        <v>25</v>
      </c>
      <c r="E149" s="19"/>
      <c r="F149" s="19"/>
      <c r="G149" s="19"/>
    </row>
    <row r="150" customFormat="false" ht="23.85" hidden="false" customHeight="false" outlineLevel="0" collapsed="false">
      <c r="A150" s="20"/>
      <c r="B150" s="15" t="s">
        <v>92</v>
      </c>
      <c r="C150" s="15" t="s">
        <v>98</v>
      </c>
      <c r="D150" s="21" t="s">
        <v>25</v>
      </c>
      <c r="E150" s="19"/>
      <c r="F150" s="19"/>
      <c r="G150" s="19"/>
    </row>
    <row r="151" customFormat="false" ht="23.85" hidden="false" customHeight="false" outlineLevel="0" collapsed="false">
      <c r="A151" s="20"/>
      <c r="B151" s="15" t="s">
        <v>99</v>
      </c>
      <c r="C151" s="15" t="s">
        <v>100</v>
      </c>
      <c r="D151" s="21" t="s">
        <v>25</v>
      </c>
      <c r="E151" s="19"/>
      <c r="F151" s="19"/>
      <c r="G151" s="19"/>
    </row>
    <row r="152" customFormat="false" ht="23.85" hidden="false" customHeight="false" outlineLevel="0" collapsed="false">
      <c r="A152" s="20"/>
      <c r="B152" s="15" t="s">
        <v>99</v>
      </c>
      <c r="C152" s="15" t="s">
        <v>101</v>
      </c>
      <c r="D152" s="21" t="s">
        <v>25</v>
      </c>
      <c r="E152" s="19"/>
      <c r="F152" s="19"/>
      <c r="G152" s="19"/>
    </row>
    <row r="153" customFormat="false" ht="23.85" hidden="false" customHeight="false" outlineLevel="0" collapsed="false">
      <c r="A153" s="20"/>
      <c r="B153" s="15" t="s">
        <v>99</v>
      </c>
      <c r="C153" s="15" t="s">
        <v>102</v>
      </c>
      <c r="D153" s="21" t="s">
        <v>25</v>
      </c>
      <c r="E153" s="19"/>
      <c r="F153" s="19"/>
      <c r="G153" s="19"/>
    </row>
    <row r="154" customFormat="false" ht="23.85" hidden="false" customHeight="false" outlineLevel="0" collapsed="false">
      <c r="A154" s="20"/>
      <c r="B154" s="15" t="s">
        <v>99</v>
      </c>
      <c r="C154" s="15" t="s">
        <v>103</v>
      </c>
      <c r="D154" s="21" t="s">
        <v>25</v>
      </c>
      <c r="E154" s="19"/>
      <c r="F154" s="19"/>
      <c r="G154" s="19"/>
    </row>
    <row r="155" customFormat="false" ht="23.85" hidden="false" customHeight="false" outlineLevel="0" collapsed="false">
      <c r="A155" s="20" t="s">
        <v>57</v>
      </c>
      <c r="B155" s="15" t="s">
        <v>69</v>
      </c>
      <c r="C155" s="15" t="s">
        <v>70</v>
      </c>
      <c r="D155" s="21" t="s">
        <v>25</v>
      </c>
      <c r="E155" s="19"/>
      <c r="F155" s="19"/>
      <c r="G155" s="19"/>
    </row>
    <row r="156" customFormat="false" ht="23.85" hidden="false" customHeight="false" outlineLevel="0" collapsed="false">
      <c r="A156" s="20"/>
      <c r="B156" s="15" t="s">
        <v>69</v>
      </c>
      <c r="C156" s="15" t="s">
        <v>71</v>
      </c>
      <c r="D156" s="21" t="s">
        <v>25</v>
      </c>
      <c r="E156" s="19"/>
      <c r="F156" s="19"/>
      <c r="G156" s="19"/>
    </row>
    <row r="157" customFormat="false" ht="23.85" hidden="false" customHeight="false" outlineLevel="0" collapsed="false">
      <c r="A157" s="20"/>
      <c r="B157" s="15" t="s">
        <v>69</v>
      </c>
      <c r="C157" s="15" t="s">
        <v>72</v>
      </c>
      <c r="D157" s="21" t="s">
        <v>25</v>
      </c>
      <c r="E157" s="19"/>
      <c r="F157" s="19"/>
      <c r="G157" s="19"/>
    </row>
    <row r="158" customFormat="false" ht="23.85" hidden="false" customHeight="false" outlineLevel="0" collapsed="false">
      <c r="A158" s="20"/>
      <c r="B158" s="15" t="s">
        <v>69</v>
      </c>
      <c r="C158" s="15" t="s">
        <v>73</v>
      </c>
      <c r="D158" s="21" t="s">
        <v>25</v>
      </c>
      <c r="E158" s="19"/>
      <c r="F158" s="19"/>
      <c r="G158" s="19"/>
    </row>
    <row r="159" customFormat="false" ht="23.85" hidden="false" customHeight="false" outlineLevel="0" collapsed="false">
      <c r="A159" s="20"/>
      <c r="B159" s="15" t="s">
        <v>69</v>
      </c>
      <c r="C159" s="15" t="s">
        <v>74</v>
      </c>
      <c r="D159" s="21" t="s">
        <v>25</v>
      </c>
      <c r="E159" s="19"/>
      <c r="F159" s="19"/>
      <c r="G159" s="19"/>
    </row>
    <row r="160" customFormat="false" ht="23.85" hidden="false" customHeight="false" outlineLevel="0" collapsed="false">
      <c r="A160" s="20"/>
      <c r="B160" s="15" t="s">
        <v>69</v>
      </c>
      <c r="C160" s="15" t="s">
        <v>75</v>
      </c>
      <c r="D160" s="21" t="s">
        <v>25</v>
      </c>
      <c r="E160" s="19"/>
      <c r="F160" s="19"/>
      <c r="G160" s="19"/>
    </row>
    <row r="161" customFormat="false" ht="23.85" hidden="false" customHeight="false" outlineLevel="0" collapsed="false">
      <c r="A161" s="20"/>
      <c r="B161" s="15" t="s">
        <v>76</v>
      </c>
      <c r="C161" s="15" t="s">
        <v>77</v>
      </c>
      <c r="D161" s="21" t="s">
        <v>25</v>
      </c>
      <c r="E161" s="19"/>
      <c r="F161" s="19"/>
      <c r="G161" s="19"/>
    </row>
    <row r="162" customFormat="false" ht="15" hidden="false" customHeight="false" outlineLevel="0" collapsed="false">
      <c r="A162" s="20"/>
      <c r="B162" s="15" t="s">
        <v>76</v>
      </c>
      <c r="C162" s="15" t="s">
        <v>78</v>
      </c>
      <c r="D162" s="21" t="s">
        <v>25</v>
      </c>
      <c r="E162" s="19"/>
      <c r="F162" s="19"/>
      <c r="G162" s="19"/>
    </row>
    <row r="163" customFormat="false" ht="15" hidden="false" customHeight="false" outlineLevel="0" collapsed="false">
      <c r="A163" s="20"/>
      <c r="B163" s="15" t="s">
        <v>76</v>
      </c>
      <c r="C163" s="15" t="s">
        <v>79</v>
      </c>
      <c r="D163" s="21" t="s">
        <v>25</v>
      </c>
      <c r="E163" s="19"/>
      <c r="F163" s="19"/>
      <c r="G163" s="19"/>
    </row>
    <row r="164" customFormat="false" ht="23.85" hidden="false" customHeight="false" outlineLevel="0" collapsed="false">
      <c r="A164" s="20"/>
      <c r="B164" s="15" t="s">
        <v>76</v>
      </c>
      <c r="C164" s="15" t="s">
        <v>80</v>
      </c>
      <c r="D164" s="21" t="s">
        <v>25</v>
      </c>
      <c r="E164" s="19"/>
      <c r="F164" s="19"/>
      <c r="G164" s="19"/>
    </row>
    <row r="165" customFormat="false" ht="15" hidden="false" customHeight="false" outlineLevel="0" collapsed="false">
      <c r="A165" s="20"/>
      <c r="B165" s="15" t="s">
        <v>76</v>
      </c>
      <c r="C165" s="15" t="s">
        <v>81</v>
      </c>
      <c r="D165" s="21" t="s">
        <v>25</v>
      </c>
      <c r="E165" s="19"/>
      <c r="F165" s="19"/>
      <c r="G165" s="19"/>
    </row>
    <row r="166" customFormat="false" ht="23.85" hidden="false" customHeight="false" outlineLevel="0" collapsed="false">
      <c r="A166" s="20"/>
      <c r="B166" s="15" t="s">
        <v>76</v>
      </c>
      <c r="C166" s="15" t="s">
        <v>82</v>
      </c>
      <c r="D166" s="21" t="s">
        <v>25</v>
      </c>
      <c r="E166" s="19"/>
      <c r="F166" s="19"/>
      <c r="G166" s="19"/>
    </row>
    <row r="167" customFormat="false" ht="15" hidden="false" customHeight="false" outlineLevel="0" collapsed="false">
      <c r="A167" s="20"/>
      <c r="B167" s="15" t="s">
        <v>76</v>
      </c>
      <c r="C167" s="15" t="s">
        <v>83</v>
      </c>
      <c r="D167" s="21" t="s">
        <v>25</v>
      </c>
      <c r="E167" s="19"/>
      <c r="F167" s="19"/>
      <c r="G167" s="19"/>
    </row>
    <row r="168" customFormat="false" ht="23.85" hidden="false" customHeight="false" outlineLevel="0" collapsed="false">
      <c r="A168" s="20"/>
      <c r="B168" s="15" t="s">
        <v>84</v>
      </c>
      <c r="C168" s="15" t="s">
        <v>85</v>
      </c>
      <c r="D168" s="21" t="s">
        <v>25</v>
      </c>
      <c r="E168" s="19"/>
      <c r="F168" s="19"/>
      <c r="G168" s="19"/>
    </row>
    <row r="169" customFormat="false" ht="23.85" hidden="false" customHeight="false" outlineLevel="0" collapsed="false">
      <c r="A169" s="20"/>
      <c r="B169" s="15" t="s">
        <v>84</v>
      </c>
      <c r="C169" s="15" t="s">
        <v>86</v>
      </c>
      <c r="D169" s="21" t="s">
        <v>25</v>
      </c>
      <c r="E169" s="19"/>
      <c r="F169" s="19"/>
      <c r="G169" s="19"/>
    </row>
    <row r="170" customFormat="false" ht="23.85" hidden="false" customHeight="false" outlineLevel="0" collapsed="false">
      <c r="A170" s="20"/>
      <c r="B170" s="15" t="s">
        <v>84</v>
      </c>
      <c r="C170" s="15" t="s">
        <v>87</v>
      </c>
      <c r="D170" s="21" t="s">
        <v>25</v>
      </c>
      <c r="E170" s="19"/>
      <c r="F170" s="19"/>
      <c r="G170" s="19"/>
    </row>
    <row r="171" customFormat="false" ht="23.85" hidden="false" customHeight="false" outlineLevel="0" collapsed="false">
      <c r="A171" s="20"/>
      <c r="B171" s="15" t="s">
        <v>84</v>
      </c>
      <c r="C171" s="15" t="s">
        <v>88</v>
      </c>
      <c r="D171" s="21" t="s">
        <v>25</v>
      </c>
      <c r="E171" s="19"/>
      <c r="F171" s="19"/>
      <c r="G171" s="19"/>
    </row>
    <row r="172" customFormat="false" ht="23.85" hidden="false" customHeight="false" outlineLevel="0" collapsed="false">
      <c r="A172" s="20"/>
      <c r="B172" s="15" t="s">
        <v>84</v>
      </c>
      <c r="C172" s="15" t="s">
        <v>89</v>
      </c>
      <c r="D172" s="21" t="s">
        <v>25</v>
      </c>
      <c r="E172" s="19"/>
      <c r="F172" s="19"/>
      <c r="G172" s="19"/>
    </row>
    <row r="173" customFormat="false" ht="23.85" hidden="false" customHeight="false" outlineLevel="0" collapsed="false">
      <c r="A173" s="20"/>
      <c r="B173" s="15" t="s">
        <v>84</v>
      </c>
      <c r="C173" s="15" t="s">
        <v>90</v>
      </c>
      <c r="D173" s="21" t="s">
        <v>25</v>
      </c>
      <c r="E173" s="19"/>
      <c r="F173" s="19"/>
      <c r="G173" s="19"/>
    </row>
    <row r="174" customFormat="false" ht="23.85" hidden="false" customHeight="false" outlineLevel="0" collapsed="false">
      <c r="A174" s="20"/>
      <c r="B174" s="15" t="s">
        <v>84</v>
      </c>
      <c r="C174" s="15" t="s">
        <v>91</v>
      </c>
      <c r="D174" s="21" t="s">
        <v>25</v>
      </c>
      <c r="E174" s="19"/>
      <c r="F174" s="19"/>
      <c r="G174" s="19"/>
    </row>
    <row r="175" customFormat="false" ht="15" hidden="false" customHeight="false" outlineLevel="0" collapsed="false">
      <c r="A175" s="20"/>
      <c r="B175" s="15" t="s">
        <v>92</v>
      </c>
      <c r="C175" s="15" t="s">
        <v>93</v>
      </c>
      <c r="D175" s="21" t="s">
        <v>25</v>
      </c>
      <c r="E175" s="19"/>
      <c r="F175" s="19"/>
      <c r="G175" s="19"/>
    </row>
    <row r="176" customFormat="false" ht="23.85" hidden="false" customHeight="false" outlineLevel="0" collapsed="false">
      <c r="A176" s="20"/>
      <c r="B176" s="15" t="s">
        <v>92</v>
      </c>
      <c r="C176" s="15" t="s">
        <v>94</v>
      </c>
      <c r="D176" s="21" t="s">
        <v>25</v>
      </c>
      <c r="E176" s="19"/>
      <c r="F176" s="19"/>
      <c r="G176" s="19"/>
    </row>
    <row r="177" customFormat="false" ht="15" hidden="false" customHeight="false" outlineLevel="0" collapsed="false">
      <c r="A177" s="20"/>
      <c r="B177" s="15" t="s">
        <v>92</v>
      </c>
      <c r="C177" s="15" t="s">
        <v>95</v>
      </c>
      <c r="D177" s="21" t="s">
        <v>25</v>
      </c>
      <c r="E177" s="19"/>
      <c r="F177" s="19"/>
      <c r="G177" s="19"/>
    </row>
    <row r="178" customFormat="false" ht="23.85" hidden="false" customHeight="false" outlineLevel="0" collapsed="false">
      <c r="A178" s="20"/>
      <c r="B178" s="15" t="s">
        <v>92</v>
      </c>
      <c r="C178" s="15" t="s">
        <v>96</v>
      </c>
      <c r="D178" s="21" t="s">
        <v>25</v>
      </c>
      <c r="E178" s="19"/>
      <c r="F178" s="19"/>
      <c r="G178" s="19"/>
    </row>
    <row r="179" customFormat="false" ht="23.85" hidden="false" customHeight="false" outlineLevel="0" collapsed="false">
      <c r="A179" s="20"/>
      <c r="B179" s="15" t="s">
        <v>92</v>
      </c>
      <c r="C179" s="15" t="s">
        <v>97</v>
      </c>
      <c r="D179" s="21" t="s">
        <v>25</v>
      </c>
      <c r="E179" s="19"/>
      <c r="F179" s="19"/>
      <c r="G179" s="19"/>
    </row>
    <row r="180" customFormat="false" ht="23.85" hidden="false" customHeight="false" outlineLevel="0" collapsed="false">
      <c r="A180" s="20"/>
      <c r="B180" s="15" t="s">
        <v>92</v>
      </c>
      <c r="C180" s="15" t="s">
        <v>98</v>
      </c>
      <c r="D180" s="21" t="s">
        <v>25</v>
      </c>
      <c r="E180" s="19"/>
      <c r="F180" s="19"/>
      <c r="G180" s="19"/>
    </row>
    <row r="181" customFormat="false" ht="23.85" hidden="false" customHeight="false" outlineLevel="0" collapsed="false">
      <c r="A181" s="20"/>
      <c r="B181" s="15" t="s">
        <v>99</v>
      </c>
      <c r="C181" s="15" t="s">
        <v>100</v>
      </c>
      <c r="D181" s="21" t="s">
        <v>25</v>
      </c>
      <c r="E181" s="19"/>
      <c r="F181" s="19"/>
      <c r="G181" s="19"/>
    </row>
    <row r="182" customFormat="false" ht="23.85" hidden="false" customHeight="false" outlineLevel="0" collapsed="false">
      <c r="A182" s="20"/>
      <c r="B182" s="15" t="s">
        <v>99</v>
      </c>
      <c r="C182" s="15" t="s">
        <v>101</v>
      </c>
      <c r="D182" s="21" t="s">
        <v>25</v>
      </c>
      <c r="E182" s="19"/>
      <c r="F182" s="19"/>
      <c r="G182" s="19"/>
    </row>
    <row r="183" customFormat="false" ht="23.85" hidden="false" customHeight="false" outlineLevel="0" collapsed="false">
      <c r="A183" s="20"/>
      <c r="B183" s="15" t="s">
        <v>99</v>
      </c>
      <c r="C183" s="15" t="s">
        <v>102</v>
      </c>
      <c r="D183" s="21" t="s">
        <v>25</v>
      </c>
      <c r="E183" s="19"/>
      <c r="F183" s="19"/>
      <c r="G183" s="19"/>
    </row>
    <row r="184" customFormat="false" ht="23.85" hidden="false" customHeight="false" outlineLevel="0" collapsed="false">
      <c r="A184" s="20"/>
      <c r="B184" s="15" t="s">
        <v>99</v>
      </c>
      <c r="C184" s="15" t="s">
        <v>103</v>
      </c>
      <c r="D184" s="21" t="s">
        <v>25</v>
      </c>
      <c r="E184" s="19"/>
      <c r="F184" s="19"/>
      <c r="G184" s="19"/>
    </row>
    <row r="185" customFormat="false" ht="23.85" hidden="false" customHeight="false" outlineLevel="0" collapsed="false">
      <c r="A185" s="20" t="s">
        <v>58</v>
      </c>
      <c r="B185" s="15" t="s">
        <v>69</v>
      </c>
      <c r="C185" s="15" t="s">
        <v>70</v>
      </c>
      <c r="D185" s="21" t="s">
        <v>25</v>
      </c>
      <c r="E185" s="19"/>
      <c r="F185" s="19"/>
      <c r="G185" s="19"/>
    </row>
    <row r="186" customFormat="false" ht="23.85" hidden="false" customHeight="false" outlineLevel="0" collapsed="false">
      <c r="A186" s="20"/>
      <c r="B186" s="15" t="s">
        <v>69</v>
      </c>
      <c r="C186" s="15" t="s">
        <v>71</v>
      </c>
      <c r="D186" s="21" t="s">
        <v>25</v>
      </c>
      <c r="E186" s="19"/>
      <c r="F186" s="19"/>
      <c r="G186" s="19"/>
    </row>
    <row r="187" customFormat="false" ht="23.85" hidden="false" customHeight="false" outlineLevel="0" collapsed="false">
      <c r="A187" s="20"/>
      <c r="B187" s="15" t="s">
        <v>69</v>
      </c>
      <c r="C187" s="15" t="s">
        <v>72</v>
      </c>
      <c r="D187" s="21" t="s">
        <v>25</v>
      </c>
      <c r="E187" s="19"/>
      <c r="F187" s="19"/>
      <c r="G187" s="19"/>
    </row>
    <row r="188" customFormat="false" ht="23.85" hidden="false" customHeight="false" outlineLevel="0" collapsed="false">
      <c r="A188" s="20"/>
      <c r="B188" s="15" t="s">
        <v>69</v>
      </c>
      <c r="C188" s="15" t="s">
        <v>73</v>
      </c>
      <c r="D188" s="21" t="s">
        <v>25</v>
      </c>
      <c r="E188" s="19"/>
      <c r="F188" s="19"/>
      <c r="G188" s="19"/>
    </row>
    <row r="189" customFormat="false" ht="23.85" hidden="false" customHeight="false" outlineLevel="0" collapsed="false">
      <c r="A189" s="20"/>
      <c r="B189" s="15" t="s">
        <v>69</v>
      </c>
      <c r="C189" s="15" t="s">
        <v>74</v>
      </c>
      <c r="D189" s="21" t="s">
        <v>25</v>
      </c>
      <c r="E189" s="19"/>
      <c r="F189" s="19"/>
      <c r="G189" s="19"/>
    </row>
    <row r="190" customFormat="false" ht="23.85" hidden="false" customHeight="false" outlineLevel="0" collapsed="false">
      <c r="A190" s="20"/>
      <c r="B190" s="15" t="s">
        <v>69</v>
      </c>
      <c r="C190" s="15" t="s">
        <v>75</v>
      </c>
      <c r="D190" s="21" t="s">
        <v>25</v>
      </c>
      <c r="E190" s="19"/>
      <c r="F190" s="19"/>
      <c r="G190" s="19"/>
    </row>
    <row r="191" customFormat="false" ht="23.85" hidden="false" customHeight="false" outlineLevel="0" collapsed="false">
      <c r="A191" s="20"/>
      <c r="B191" s="15" t="s">
        <v>76</v>
      </c>
      <c r="C191" s="15" t="s">
        <v>77</v>
      </c>
      <c r="D191" s="21" t="s">
        <v>25</v>
      </c>
      <c r="E191" s="19"/>
      <c r="F191" s="19"/>
      <c r="G191" s="19"/>
    </row>
    <row r="192" customFormat="false" ht="15" hidden="false" customHeight="false" outlineLevel="0" collapsed="false">
      <c r="A192" s="20"/>
      <c r="B192" s="15" t="s">
        <v>76</v>
      </c>
      <c r="C192" s="15" t="s">
        <v>78</v>
      </c>
      <c r="D192" s="21" t="s">
        <v>25</v>
      </c>
      <c r="E192" s="19"/>
      <c r="F192" s="19"/>
      <c r="G192" s="19"/>
    </row>
    <row r="193" customFormat="false" ht="15" hidden="false" customHeight="false" outlineLevel="0" collapsed="false">
      <c r="A193" s="20"/>
      <c r="B193" s="15" t="s">
        <v>76</v>
      </c>
      <c r="C193" s="15" t="s">
        <v>79</v>
      </c>
      <c r="D193" s="21" t="s">
        <v>25</v>
      </c>
      <c r="E193" s="19"/>
      <c r="F193" s="19"/>
      <c r="G193" s="19"/>
    </row>
    <row r="194" customFormat="false" ht="23.85" hidden="false" customHeight="false" outlineLevel="0" collapsed="false">
      <c r="A194" s="20"/>
      <c r="B194" s="15" t="s">
        <v>76</v>
      </c>
      <c r="C194" s="15" t="s">
        <v>80</v>
      </c>
      <c r="D194" s="21" t="s">
        <v>25</v>
      </c>
      <c r="E194" s="19"/>
      <c r="F194" s="19"/>
      <c r="G194" s="19"/>
    </row>
    <row r="195" customFormat="false" ht="15" hidden="false" customHeight="false" outlineLevel="0" collapsed="false">
      <c r="A195" s="20"/>
      <c r="B195" s="15" t="s">
        <v>76</v>
      </c>
      <c r="C195" s="15" t="s">
        <v>81</v>
      </c>
      <c r="D195" s="21" t="s">
        <v>25</v>
      </c>
      <c r="E195" s="19"/>
      <c r="F195" s="19"/>
      <c r="G195" s="19"/>
    </row>
    <row r="196" customFormat="false" ht="23.85" hidden="false" customHeight="false" outlineLevel="0" collapsed="false">
      <c r="A196" s="20"/>
      <c r="B196" s="15" t="s">
        <v>76</v>
      </c>
      <c r="C196" s="15" t="s">
        <v>82</v>
      </c>
      <c r="D196" s="21" t="s">
        <v>25</v>
      </c>
      <c r="E196" s="19"/>
      <c r="F196" s="19"/>
      <c r="G196" s="19"/>
    </row>
    <row r="197" customFormat="false" ht="15" hidden="false" customHeight="false" outlineLevel="0" collapsed="false">
      <c r="A197" s="20"/>
      <c r="B197" s="15" t="s">
        <v>76</v>
      </c>
      <c r="C197" s="15" t="s">
        <v>83</v>
      </c>
      <c r="D197" s="21" t="s">
        <v>25</v>
      </c>
      <c r="E197" s="19"/>
      <c r="F197" s="19"/>
      <c r="G197" s="19"/>
    </row>
    <row r="198" customFormat="false" ht="23.85" hidden="false" customHeight="false" outlineLevel="0" collapsed="false">
      <c r="A198" s="20"/>
      <c r="B198" s="15" t="s">
        <v>84</v>
      </c>
      <c r="C198" s="15" t="s">
        <v>85</v>
      </c>
      <c r="D198" s="21" t="s">
        <v>25</v>
      </c>
      <c r="E198" s="19"/>
      <c r="F198" s="19"/>
      <c r="G198" s="19"/>
    </row>
    <row r="199" customFormat="false" ht="23.85" hidden="false" customHeight="false" outlineLevel="0" collapsed="false">
      <c r="A199" s="20"/>
      <c r="B199" s="15" t="s">
        <v>84</v>
      </c>
      <c r="C199" s="15" t="s">
        <v>86</v>
      </c>
      <c r="D199" s="21" t="s">
        <v>25</v>
      </c>
      <c r="E199" s="19"/>
      <c r="F199" s="19"/>
      <c r="G199" s="19"/>
    </row>
    <row r="200" customFormat="false" ht="23.85" hidden="false" customHeight="false" outlineLevel="0" collapsed="false">
      <c r="A200" s="20"/>
      <c r="B200" s="15" t="s">
        <v>84</v>
      </c>
      <c r="C200" s="15" t="s">
        <v>87</v>
      </c>
      <c r="D200" s="21" t="s">
        <v>25</v>
      </c>
      <c r="E200" s="19"/>
      <c r="F200" s="19"/>
      <c r="G200" s="19"/>
    </row>
    <row r="201" customFormat="false" ht="23.85" hidden="false" customHeight="false" outlineLevel="0" collapsed="false">
      <c r="A201" s="20"/>
      <c r="B201" s="15" t="s">
        <v>84</v>
      </c>
      <c r="C201" s="15" t="s">
        <v>88</v>
      </c>
      <c r="D201" s="21" t="s">
        <v>25</v>
      </c>
      <c r="E201" s="19"/>
      <c r="F201" s="19"/>
      <c r="G201" s="19"/>
    </row>
    <row r="202" customFormat="false" ht="23.85" hidden="false" customHeight="false" outlineLevel="0" collapsed="false">
      <c r="A202" s="20"/>
      <c r="B202" s="15" t="s">
        <v>84</v>
      </c>
      <c r="C202" s="15" t="s">
        <v>89</v>
      </c>
      <c r="D202" s="21" t="s">
        <v>25</v>
      </c>
      <c r="E202" s="19"/>
      <c r="F202" s="19"/>
      <c r="G202" s="19"/>
    </row>
    <row r="203" customFormat="false" ht="23.85" hidden="false" customHeight="false" outlineLevel="0" collapsed="false">
      <c r="A203" s="20"/>
      <c r="B203" s="15" t="s">
        <v>84</v>
      </c>
      <c r="C203" s="15" t="s">
        <v>90</v>
      </c>
      <c r="D203" s="21" t="s">
        <v>25</v>
      </c>
      <c r="E203" s="19"/>
      <c r="F203" s="19"/>
      <c r="G203" s="19"/>
    </row>
    <row r="204" customFormat="false" ht="23.85" hidden="false" customHeight="false" outlineLevel="0" collapsed="false">
      <c r="A204" s="20"/>
      <c r="B204" s="15" t="s">
        <v>84</v>
      </c>
      <c r="C204" s="15" t="s">
        <v>91</v>
      </c>
      <c r="D204" s="21" t="s">
        <v>25</v>
      </c>
      <c r="E204" s="19"/>
      <c r="F204" s="19"/>
      <c r="G204" s="19"/>
    </row>
    <row r="205" customFormat="false" ht="15" hidden="false" customHeight="false" outlineLevel="0" collapsed="false">
      <c r="A205" s="20"/>
      <c r="B205" s="15" t="s">
        <v>92</v>
      </c>
      <c r="C205" s="15" t="s">
        <v>93</v>
      </c>
      <c r="D205" s="21" t="s">
        <v>25</v>
      </c>
      <c r="E205" s="19"/>
      <c r="F205" s="19"/>
      <c r="G205" s="19"/>
    </row>
    <row r="206" customFormat="false" ht="23.85" hidden="false" customHeight="false" outlineLevel="0" collapsed="false">
      <c r="A206" s="20"/>
      <c r="B206" s="15" t="s">
        <v>92</v>
      </c>
      <c r="C206" s="15" t="s">
        <v>94</v>
      </c>
      <c r="D206" s="21" t="s">
        <v>25</v>
      </c>
      <c r="E206" s="19"/>
      <c r="F206" s="19"/>
      <c r="G206" s="19"/>
    </row>
    <row r="207" customFormat="false" ht="15" hidden="false" customHeight="false" outlineLevel="0" collapsed="false">
      <c r="A207" s="20"/>
      <c r="B207" s="15" t="s">
        <v>92</v>
      </c>
      <c r="C207" s="15" t="s">
        <v>95</v>
      </c>
      <c r="D207" s="21" t="s">
        <v>25</v>
      </c>
      <c r="E207" s="19"/>
      <c r="F207" s="19"/>
      <c r="G207" s="19"/>
    </row>
    <row r="208" customFormat="false" ht="23.85" hidden="false" customHeight="false" outlineLevel="0" collapsed="false">
      <c r="A208" s="20"/>
      <c r="B208" s="15" t="s">
        <v>92</v>
      </c>
      <c r="C208" s="15" t="s">
        <v>96</v>
      </c>
      <c r="D208" s="21" t="s">
        <v>25</v>
      </c>
      <c r="E208" s="19"/>
      <c r="F208" s="19"/>
      <c r="G208" s="19"/>
    </row>
    <row r="209" customFormat="false" ht="23.85" hidden="false" customHeight="false" outlineLevel="0" collapsed="false">
      <c r="A209" s="20"/>
      <c r="B209" s="15" t="s">
        <v>92</v>
      </c>
      <c r="C209" s="15" t="s">
        <v>97</v>
      </c>
      <c r="D209" s="21" t="s">
        <v>25</v>
      </c>
      <c r="E209" s="19"/>
      <c r="F209" s="19"/>
      <c r="G209" s="19"/>
    </row>
    <row r="210" customFormat="false" ht="23.85" hidden="false" customHeight="false" outlineLevel="0" collapsed="false">
      <c r="A210" s="20"/>
      <c r="B210" s="15" t="s">
        <v>92</v>
      </c>
      <c r="C210" s="15" t="s">
        <v>98</v>
      </c>
      <c r="D210" s="21" t="s">
        <v>25</v>
      </c>
      <c r="E210" s="19"/>
      <c r="F210" s="19"/>
      <c r="G210" s="19"/>
    </row>
    <row r="211" customFormat="false" ht="23.85" hidden="false" customHeight="false" outlineLevel="0" collapsed="false">
      <c r="A211" s="20"/>
      <c r="B211" s="15" t="s">
        <v>99</v>
      </c>
      <c r="C211" s="15" t="s">
        <v>100</v>
      </c>
      <c r="D211" s="21" t="s">
        <v>25</v>
      </c>
      <c r="E211" s="19"/>
      <c r="F211" s="19"/>
      <c r="G211" s="19"/>
    </row>
    <row r="212" customFormat="false" ht="23.85" hidden="false" customHeight="false" outlineLevel="0" collapsed="false">
      <c r="A212" s="20"/>
      <c r="B212" s="15" t="s">
        <v>99</v>
      </c>
      <c r="C212" s="15" t="s">
        <v>101</v>
      </c>
      <c r="D212" s="21" t="s">
        <v>25</v>
      </c>
      <c r="E212" s="19"/>
      <c r="F212" s="19"/>
      <c r="G212" s="19"/>
    </row>
    <row r="213" customFormat="false" ht="23.85" hidden="false" customHeight="false" outlineLevel="0" collapsed="false">
      <c r="A213" s="20"/>
      <c r="B213" s="15" t="s">
        <v>99</v>
      </c>
      <c r="C213" s="15" t="s">
        <v>102</v>
      </c>
      <c r="D213" s="21" t="s">
        <v>25</v>
      </c>
      <c r="E213" s="19"/>
      <c r="F213" s="19"/>
      <c r="G213" s="19"/>
    </row>
    <row r="214" customFormat="false" ht="23.85" hidden="false" customHeight="false" outlineLevel="0" collapsed="false">
      <c r="A214" s="20"/>
      <c r="B214" s="15" t="s">
        <v>99</v>
      </c>
      <c r="C214" s="15" t="s">
        <v>103</v>
      </c>
      <c r="D214" s="21" t="s">
        <v>25</v>
      </c>
      <c r="E214" s="19"/>
      <c r="F214" s="19"/>
      <c r="G214" s="19"/>
    </row>
    <row r="215" customFormat="false" ht="23.85" hidden="false" customHeight="false" outlineLevel="0" collapsed="false">
      <c r="A215" s="20" t="s">
        <v>59</v>
      </c>
      <c r="B215" s="15" t="s">
        <v>69</v>
      </c>
      <c r="C215" s="15" t="s">
        <v>70</v>
      </c>
      <c r="D215" s="21" t="s">
        <v>25</v>
      </c>
      <c r="E215" s="19"/>
      <c r="F215" s="19"/>
      <c r="G215" s="19"/>
    </row>
    <row r="216" customFormat="false" ht="23.85" hidden="false" customHeight="false" outlineLevel="0" collapsed="false">
      <c r="A216" s="20"/>
      <c r="B216" s="15" t="s">
        <v>69</v>
      </c>
      <c r="C216" s="15" t="s">
        <v>71</v>
      </c>
      <c r="D216" s="21" t="s">
        <v>25</v>
      </c>
      <c r="E216" s="19"/>
      <c r="F216" s="19"/>
      <c r="G216" s="19"/>
    </row>
    <row r="217" customFormat="false" ht="23.85" hidden="false" customHeight="false" outlineLevel="0" collapsed="false">
      <c r="A217" s="20"/>
      <c r="B217" s="15" t="s">
        <v>69</v>
      </c>
      <c r="C217" s="15" t="s">
        <v>72</v>
      </c>
      <c r="D217" s="21" t="s">
        <v>25</v>
      </c>
      <c r="E217" s="19"/>
      <c r="F217" s="19"/>
      <c r="G217" s="19"/>
    </row>
    <row r="218" customFormat="false" ht="23.85" hidden="false" customHeight="false" outlineLevel="0" collapsed="false">
      <c r="A218" s="20"/>
      <c r="B218" s="15" t="s">
        <v>69</v>
      </c>
      <c r="C218" s="15" t="s">
        <v>73</v>
      </c>
      <c r="D218" s="21" t="s">
        <v>25</v>
      </c>
      <c r="E218" s="19"/>
      <c r="F218" s="19"/>
      <c r="G218" s="19"/>
    </row>
    <row r="219" customFormat="false" ht="23.85" hidden="false" customHeight="false" outlineLevel="0" collapsed="false">
      <c r="A219" s="20"/>
      <c r="B219" s="15" t="s">
        <v>69</v>
      </c>
      <c r="C219" s="15" t="s">
        <v>74</v>
      </c>
      <c r="D219" s="21" t="s">
        <v>25</v>
      </c>
      <c r="E219" s="19"/>
      <c r="F219" s="19"/>
      <c r="G219" s="19"/>
    </row>
    <row r="220" customFormat="false" ht="23.85" hidden="false" customHeight="false" outlineLevel="0" collapsed="false">
      <c r="A220" s="20"/>
      <c r="B220" s="15" t="s">
        <v>69</v>
      </c>
      <c r="C220" s="15" t="s">
        <v>75</v>
      </c>
      <c r="D220" s="21" t="s">
        <v>25</v>
      </c>
      <c r="E220" s="19"/>
      <c r="F220" s="19"/>
      <c r="G220" s="19"/>
    </row>
    <row r="221" customFormat="false" ht="23.85" hidden="false" customHeight="false" outlineLevel="0" collapsed="false">
      <c r="A221" s="20"/>
      <c r="B221" s="15" t="s">
        <v>76</v>
      </c>
      <c r="C221" s="15" t="s">
        <v>77</v>
      </c>
      <c r="D221" s="21" t="s">
        <v>25</v>
      </c>
      <c r="E221" s="19"/>
      <c r="F221" s="19"/>
      <c r="G221" s="19"/>
    </row>
    <row r="222" customFormat="false" ht="15" hidden="false" customHeight="false" outlineLevel="0" collapsed="false">
      <c r="A222" s="20"/>
      <c r="B222" s="15" t="s">
        <v>76</v>
      </c>
      <c r="C222" s="15" t="s">
        <v>78</v>
      </c>
      <c r="D222" s="21" t="s">
        <v>25</v>
      </c>
      <c r="E222" s="19"/>
      <c r="F222" s="19"/>
      <c r="G222" s="19"/>
    </row>
    <row r="223" customFormat="false" ht="15" hidden="false" customHeight="false" outlineLevel="0" collapsed="false">
      <c r="A223" s="20"/>
      <c r="B223" s="15" t="s">
        <v>76</v>
      </c>
      <c r="C223" s="15" t="s">
        <v>79</v>
      </c>
      <c r="D223" s="21" t="s">
        <v>25</v>
      </c>
      <c r="E223" s="19"/>
      <c r="F223" s="19"/>
      <c r="G223" s="19"/>
    </row>
    <row r="224" customFormat="false" ht="23.85" hidden="false" customHeight="false" outlineLevel="0" collapsed="false">
      <c r="A224" s="20"/>
      <c r="B224" s="15" t="s">
        <v>76</v>
      </c>
      <c r="C224" s="15" t="s">
        <v>80</v>
      </c>
      <c r="D224" s="21" t="s">
        <v>25</v>
      </c>
      <c r="E224" s="19"/>
      <c r="F224" s="19"/>
      <c r="G224" s="19"/>
    </row>
    <row r="225" customFormat="false" ht="15" hidden="false" customHeight="false" outlineLevel="0" collapsed="false">
      <c r="A225" s="20"/>
      <c r="B225" s="15" t="s">
        <v>76</v>
      </c>
      <c r="C225" s="15" t="s">
        <v>81</v>
      </c>
      <c r="D225" s="21" t="s">
        <v>25</v>
      </c>
      <c r="E225" s="19"/>
      <c r="F225" s="19"/>
      <c r="G225" s="19"/>
    </row>
    <row r="226" customFormat="false" ht="23.85" hidden="false" customHeight="false" outlineLevel="0" collapsed="false">
      <c r="A226" s="20"/>
      <c r="B226" s="15" t="s">
        <v>76</v>
      </c>
      <c r="C226" s="15" t="s">
        <v>82</v>
      </c>
      <c r="D226" s="21" t="s">
        <v>25</v>
      </c>
      <c r="E226" s="19"/>
      <c r="F226" s="19"/>
      <c r="G226" s="19"/>
    </row>
    <row r="227" customFormat="false" ht="15" hidden="false" customHeight="false" outlineLevel="0" collapsed="false">
      <c r="A227" s="20"/>
      <c r="B227" s="15" t="s">
        <v>76</v>
      </c>
      <c r="C227" s="15" t="s">
        <v>83</v>
      </c>
      <c r="D227" s="21" t="s">
        <v>25</v>
      </c>
      <c r="E227" s="19"/>
      <c r="F227" s="19"/>
      <c r="G227" s="19"/>
    </row>
    <row r="228" customFormat="false" ht="23.85" hidden="false" customHeight="false" outlineLevel="0" collapsed="false">
      <c r="A228" s="20"/>
      <c r="B228" s="15" t="s">
        <v>84</v>
      </c>
      <c r="C228" s="15" t="s">
        <v>85</v>
      </c>
      <c r="D228" s="21" t="s">
        <v>25</v>
      </c>
      <c r="E228" s="19"/>
      <c r="F228" s="19"/>
      <c r="G228" s="19"/>
    </row>
    <row r="229" customFormat="false" ht="23.85" hidden="false" customHeight="false" outlineLevel="0" collapsed="false">
      <c r="A229" s="20"/>
      <c r="B229" s="15" t="s">
        <v>84</v>
      </c>
      <c r="C229" s="15" t="s">
        <v>86</v>
      </c>
      <c r="D229" s="21" t="s">
        <v>25</v>
      </c>
      <c r="E229" s="19"/>
      <c r="F229" s="19"/>
      <c r="G229" s="19"/>
    </row>
    <row r="230" customFormat="false" ht="23.85" hidden="false" customHeight="false" outlineLevel="0" collapsed="false">
      <c r="A230" s="20"/>
      <c r="B230" s="15" t="s">
        <v>84</v>
      </c>
      <c r="C230" s="15" t="s">
        <v>87</v>
      </c>
      <c r="D230" s="21" t="s">
        <v>25</v>
      </c>
      <c r="E230" s="19"/>
      <c r="F230" s="19"/>
      <c r="G230" s="19"/>
    </row>
    <row r="231" customFormat="false" ht="23.85" hidden="false" customHeight="false" outlineLevel="0" collapsed="false">
      <c r="A231" s="20"/>
      <c r="B231" s="15" t="s">
        <v>84</v>
      </c>
      <c r="C231" s="15" t="s">
        <v>88</v>
      </c>
      <c r="D231" s="21" t="s">
        <v>25</v>
      </c>
      <c r="E231" s="19"/>
      <c r="F231" s="19"/>
      <c r="G231" s="19"/>
    </row>
    <row r="232" customFormat="false" ht="23.85" hidden="false" customHeight="false" outlineLevel="0" collapsed="false">
      <c r="A232" s="20"/>
      <c r="B232" s="15" t="s">
        <v>84</v>
      </c>
      <c r="C232" s="15" t="s">
        <v>89</v>
      </c>
      <c r="D232" s="21" t="s">
        <v>25</v>
      </c>
      <c r="E232" s="19"/>
      <c r="F232" s="19"/>
      <c r="G232" s="19"/>
    </row>
    <row r="233" customFormat="false" ht="23.85" hidden="false" customHeight="false" outlineLevel="0" collapsed="false">
      <c r="A233" s="20"/>
      <c r="B233" s="15" t="s">
        <v>84</v>
      </c>
      <c r="C233" s="15" t="s">
        <v>90</v>
      </c>
      <c r="D233" s="21" t="s">
        <v>25</v>
      </c>
      <c r="E233" s="19"/>
      <c r="F233" s="19"/>
      <c r="G233" s="19"/>
    </row>
    <row r="234" customFormat="false" ht="23.85" hidden="false" customHeight="false" outlineLevel="0" collapsed="false">
      <c r="A234" s="20"/>
      <c r="B234" s="15" t="s">
        <v>84</v>
      </c>
      <c r="C234" s="15" t="s">
        <v>91</v>
      </c>
      <c r="D234" s="21" t="s">
        <v>25</v>
      </c>
      <c r="E234" s="19"/>
      <c r="F234" s="19"/>
      <c r="G234" s="19"/>
    </row>
    <row r="235" customFormat="false" ht="15" hidden="false" customHeight="false" outlineLevel="0" collapsed="false">
      <c r="A235" s="20"/>
      <c r="B235" s="15" t="s">
        <v>92</v>
      </c>
      <c r="C235" s="15" t="s">
        <v>93</v>
      </c>
      <c r="D235" s="21" t="s">
        <v>25</v>
      </c>
      <c r="E235" s="19"/>
      <c r="F235" s="19"/>
      <c r="G235" s="19"/>
    </row>
    <row r="236" customFormat="false" ht="23.85" hidden="false" customHeight="false" outlineLevel="0" collapsed="false">
      <c r="A236" s="20"/>
      <c r="B236" s="15" t="s">
        <v>92</v>
      </c>
      <c r="C236" s="15" t="s">
        <v>94</v>
      </c>
      <c r="D236" s="21" t="s">
        <v>25</v>
      </c>
      <c r="E236" s="19"/>
      <c r="F236" s="19"/>
      <c r="G236" s="19"/>
    </row>
    <row r="237" customFormat="false" ht="15" hidden="false" customHeight="false" outlineLevel="0" collapsed="false">
      <c r="A237" s="20"/>
      <c r="B237" s="15" t="s">
        <v>92</v>
      </c>
      <c r="C237" s="15" t="s">
        <v>95</v>
      </c>
      <c r="D237" s="21" t="s">
        <v>25</v>
      </c>
      <c r="E237" s="19"/>
      <c r="F237" s="19"/>
      <c r="G237" s="19"/>
    </row>
    <row r="238" customFormat="false" ht="23.85" hidden="false" customHeight="false" outlineLevel="0" collapsed="false">
      <c r="A238" s="20"/>
      <c r="B238" s="15" t="s">
        <v>92</v>
      </c>
      <c r="C238" s="15" t="s">
        <v>96</v>
      </c>
      <c r="D238" s="21" t="s">
        <v>25</v>
      </c>
      <c r="E238" s="19"/>
      <c r="F238" s="19"/>
      <c r="G238" s="19"/>
    </row>
    <row r="239" customFormat="false" ht="23.85" hidden="false" customHeight="false" outlineLevel="0" collapsed="false">
      <c r="A239" s="20"/>
      <c r="B239" s="15" t="s">
        <v>92</v>
      </c>
      <c r="C239" s="15" t="s">
        <v>97</v>
      </c>
      <c r="D239" s="21" t="s">
        <v>25</v>
      </c>
      <c r="E239" s="19"/>
      <c r="F239" s="19"/>
      <c r="G239" s="19"/>
    </row>
    <row r="240" customFormat="false" ht="23.85" hidden="false" customHeight="false" outlineLevel="0" collapsed="false">
      <c r="A240" s="20"/>
      <c r="B240" s="15" t="s">
        <v>92</v>
      </c>
      <c r="C240" s="15" t="s">
        <v>98</v>
      </c>
      <c r="D240" s="21" t="s">
        <v>25</v>
      </c>
      <c r="E240" s="19"/>
      <c r="F240" s="19"/>
      <c r="G240" s="19"/>
    </row>
    <row r="241" customFormat="false" ht="23.85" hidden="false" customHeight="false" outlineLevel="0" collapsed="false">
      <c r="A241" s="20"/>
      <c r="B241" s="15" t="s">
        <v>99</v>
      </c>
      <c r="C241" s="15" t="s">
        <v>100</v>
      </c>
      <c r="D241" s="21" t="s">
        <v>25</v>
      </c>
      <c r="E241" s="19"/>
      <c r="F241" s="19"/>
      <c r="G241" s="19"/>
    </row>
    <row r="242" customFormat="false" ht="23.85" hidden="false" customHeight="false" outlineLevel="0" collapsed="false">
      <c r="A242" s="20"/>
      <c r="B242" s="15" t="s">
        <v>99</v>
      </c>
      <c r="C242" s="15" t="s">
        <v>101</v>
      </c>
      <c r="D242" s="21" t="s">
        <v>25</v>
      </c>
      <c r="E242" s="19"/>
      <c r="F242" s="19"/>
      <c r="G242" s="19"/>
    </row>
    <row r="243" customFormat="false" ht="23.85" hidden="false" customHeight="false" outlineLevel="0" collapsed="false">
      <c r="A243" s="20"/>
      <c r="B243" s="15" t="s">
        <v>99</v>
      </c>
      <c r="C243" s="15" t="s">
        <v>102</v>
      </c>
      <c r="D243" s="21" t="s">
        <v>25</v>
      </c>
      <c r="E243" s="19"/>
      <c r="F243" s="19"/>
      <c r="G243" s="19"/>
    </row>
    <row r="244" customFormat="false" ht="23.85" hidden="false" customHeight="false" outlineLevel="0" collapsed="false">
      <c r="A244" s="20"/>
      <c r="B244" s="15" t="s">
        <v>99</v>
      </c>
      <c r="C244" s="15" t="s">
        <v>103</v>
      </c>
      <c r="D244" s="21" t="s">
        <v>25</v>
      </c>
      <c r="E244" s="19"/>
      <c r="F244" s="19"/>
      <c r="G244" s="19"/>
    </row>
    <row r="245" customFormat="false" ht="23.85" hidden="false" customHeight="false" outlineLevel="0" collapsed="false">
      <c r="A245" s="20" t="s">
        <v>60</v>
      </c>
      <c r="B245" s="15" t="s">
        <v>69</v>
      </c>
      <c r="C245" s="15" t="s">
        <v>70</v>
      </c>
      <c r="D245" s="21" t="s">
        <v>25</v>
      </c>
      <c r="E245" s="19"/>
      <c r="F245" s="19"/>
      <c r="G245" s="19"/>
    </row>
    <row r="246" customFormat="false" ht="23.85" hidden="false" customHeight="false" outlineLevel="0" collapsed="false">
      <c r="A246" s="20"/>
      <c r="B246" s="15" t="s">
        <v>69</v>
      </c>
      <c r="C246" s="15" t="s">
        <v>71</v>
      </c>
      <c r="D246" s="21" t="s">
        <v>25</v>
      </c>
      <c r="E246" s="19"/>
      <c r="F246" s="19"/>
      <c r="G246" s="19"/>
    </row>
    <row r="247" customFormat="false" ht="23.85" hidden="false" customHeight="false" outlineLevel="0" collapsed="false">
      <c r="A247" s="20"/>
      <c r="B247" s="15" t="s">
        <v>69</v>
      </c>
      <c r="C247" s="15" t="s">
        <v>72</v>
      </c>
      <c r="D247" s="21" t="s">
        <v>25</v>
      </c>
      <c r="E247" s="19"/>
      <c r="F247" s="19"/>
      <c r="G247" s="19"/>
    </row>
    <row r="248" customFormat="false" ht="23.85" hidden="false" customHeight="false" outlineLevel="0" collapsed="false">
      <c r="A248" s="20"/>
      <c r="B248" s="15" t="s">
        <v>69</v>
      </c>
      <c r="C248" s="15" t="s">
        <v>73</v>
      </c>
      <c r="D248" s="21" t="s">
        <v>25</v>
      </c>
      <c r="E248" s="19"/>
      <c r="F248" s="19"/>
      <c r="G248" s="19"/>
    </row>
    <row r="249" customFormat="false" ht="23.85" hidden="false" customHeight="false" outlineLevel="0" collapsed="false">
      <c r="A249" s="20"/>
      <c r="B249" s="15" t="s">
        <v>69</v>
      </c>
      <c r="C249" s="15" t="s">
        <v>74</v>
      </c>
      <c r="D249" s="21" t="s">
        <v>25</v>
      </c>
      <c r="E249" s="19"/>
      <c r="F249" s="19"/>
      <c r="G249" s="19"/>
    </row>
    <row r="250" customFormat="false" ht="23.85" hidden="false" customHeight="false" outlineLevel="0" collapsed="false">
      <c r="A250" s="20"/>
      <c r="B250" s="15" t="s">
        <v>69</v>
      </c>
      <c r="C250" s="15" t="s">
        <v>75</v>
      </c>
      <c r="D250" s="21" t="s">
        <v>25</v>
      </c>
      <c r="E250" s="19"/>
      <c r="F250" s="19"/>
      <c r="G250" s="19"/>
    </row>
    <row r="251" customFormat="false" ht="23.85" hidden="false" customHeight="false" outlineLevel="0" collapsed="false">
      <c r="A251" s="20"/>
      <c r="B251" s="15" t="s">
        <v>76</v>
      </c>
      <c r="C251" s="15" t="s">
        <v>77</v>
      </c>
      <c r="D251" s="21" t="s">
        <v>25</v>
      </c>
      <c r="E251" s="19"/>
      <c r="F251" s="19"/>
      <c r="G251" s="19"/>
    </row>
    <row r="252" customFormat="false" ht="15" hidden="false" customHeight="false" outlineLevel="0" collapsed="false">
      <c r="A252" s="20"/>
      <c r="B252" s="15" t="s">
        <v>76</v>
      </c>
      <c r="C252" s="15" t="s">
        <v>78</v>
      </c>
      <c r="D252" s="21" t="s">
        <v>25</v>
      </c>
      <c r="E252" s="19"/>
      <c r="F252" s="19"/>
      <c r="G252" s="19"/>
    </row>
    <row r="253" customFormat="false" ht="15" hidden="false" customHeight="false" outlineLevel="0" collapsed="false">
      <c r="A253" s="20"/>
      <c r="B253" s="15" t="s">
        <v>76</v>
      </c>
      <c r="C253" s="15" t="s">
        <v>79</v>
      </c>
      <c r="D253" s="21" t="s">
        <v>25</v>
      </c>
      <c r="E253" s="19"/>
      <c r="F253" s="19"/>
      <c r="G253" s="19"/>
    </row>
    <row r="254" customFormat="false" ht="23.85" hidden="false" customHeight="false" outlineLevel="0" collapsed="false">
      <c r="A254" s="20"/>
      <c r="B254" s="15" t="s">
        <v>76</v>
      </c>
      <c r="C254" s="15" t="s">
        <v>80</v>
      </c>
      <c r="D254" s="21" t="s">
        <v>25</v>
      </c>
      <c r="E254" s="19"/>
      <c r="F254" s="19"/>
      <c r="G254" s="19"/>
    </row>
    <row r="255" customFormat="false" ht="15" hidden="false" customHeight="false" outlineLevel="0" collapsed="false">
      <c r="A255" s="20"/>
      <c r="B255" s="15" t="s">
        <v>76</v>
      </c>
      <c r="C255" s="15" t="s">
        <v>81</v>
      </c>
      <c r="D255" s="21" t="s">
        <v>25</v>
      </c>
      <c r="E255" s="19"/>
      <c r="F255" s="19"/>
      <c r="G255" s="19"/>
    </row>
    <row r="256" customFormat="false" ht="23.85" hidden="false" customHeight="false" outlineLevel="0" collapsed="false">
      <c r="A256" s="20"/>
      <c r="B256" s="15" t="s">
        <v>76</v>
      </c>
      <c r="C256" s="15" t="s">
        <v>82</v>
      </c>
      <c r="D256" s="21" t="s">
        <v>25</v>
      </c>
      <c r="E256" s="19"/>
      <c r="F256" s="19"/>
      <c r="G256" s="19"/>
    </row>
    <row r="257" customFormat="false" ht="15" hidden="false" customHeight="false" outlineLevel="0" collapsed="false">
      <c r="A257" s="20"/>
      <c r="B257" s="15" t="s">
        <v>76</v>
      </c>
      <c r="C257" s="15" t="s">
        <v>83</v>
      </c>
      <c r="D257" s="21" t="s">
        <v>25</v>
      </c>
      <c r="E257" s="19"/>
      <c r="F257" s="19"/>
      <c r="G257" s="19"/>
    </row>
    <row r="258" customFormat="false" ht="23.85" hidden="false" customHeight="false" outlineLevel="0" collapsed="false">
      <c r="A258" s="20"/>
      <c r="B258" s="15" t="s">
        <v>84</v>
      </c>
      <c r="C258" s="15" t="s">
        <v>85</v>
      </c>
      <c r="D258" s="21" t="s">
        <v>25</v>
      </c>
      <c r="E258" s="19"/>
      <c r="F258" s="19"/>
      <c r="G258" s="19"/>
    </row>
    <row r="259" customFormat="false" ht="23.85" hidden="false" customHeight="false" outlineLevel="0" collapsed="false">
      <c r="A259" s="20"/>
      <c r="B259" s="15" t="s">
        <v>84</v>
      </c>
      <c r="C259" s="15" t="s">
        <v>86</v>
      </c>
      <c r="D259" s="21" t="s">
        <v>25</v>
      </c>
      <c r="E259" s="19"/>
      <c r="F259" s="19"/>
      <c r="G259" s="19"/>
    </row>
    <row r="260" customFormat="false" ht="23.85" hidden="false" customHeight="false" outlineLevel="0" collapsed="false">
      <c r="A260" s="20"/>
      <c r="B260" s="15" t="s">
        <v>84</v>
      </c>
      <c r="C260" s="15" t="s">
        <v>87</v>
      </c>
      <c r="D260" s="21" t="s">
        <v>25</v>
      </c>
      <c r="E260" s="19"/>
      <c r="F260" s="19"/>
      <c r="G260" s="19"/>
    </row>
    <row r="261" customFormat="false" ht="23.85" hidden="false" customHeight="false" outlineLevel="0" collapsed="false">
      <c r="A261" s="20"/>
      <c r="B261" s="15" t="s">
        <v>84</v>
      </c>
      <c r="C261" s="15" t="s">
        <v>88</v>
      </c>
      <c r="D261" s="21" t="s">
        <v>25</v>
      </c>
      <c r="E261" s="19"/>
      <c r="F261" s="19"/>
      <c r="G261" s="19"/>
    </row>
    <row r="262" customFormat="false" ht="23.85" hidden="false" customHeight="false" outlineLevel="0" collapsed="false">
      <c r="A262" s="20"/>
      <c r="B262" s="15" t="s">
        <v>84</v>
      </c>
      <c r="C262" s="15" t="s">
        <v>89</v>
      </c>
      <c r="D262" s="21" t="s">
        <v>25</v>
      </c>
      <c r="E262" s="19"/>
      <c r="F262" s="19"/>
      <c r="G262" s="19"/>
    </row>
    <row r="263" customFormat="false" ht="23.85" hidden="false" customHeight="false" outlineLevel="0" collapsed="false">
      <c r="A263" s="20"/>
      <c r="B263" s="15" t="s">
        <v>84</v>
      </c>
      <c r="C263" s="15" t="s">
        <v>90</v>
      </c>
      <c r="D263" s="21" t="s">
        <v>25</v>
      </c>
      <c r="E263" s="19"/>
      <c r="F263" s="19"/>
      <c r="G263" s="19"/>
    </row>
    <row r="264" customFormat="false" ht="23.85" hidden="false" customHeight="false" outlineLevel="0" collapsed="false">
      <c r="A264" s="20"/>
      <c r="B264" s="15" t="s">
        <v>84</v>
      </c>
      <c r="C264" s="15" t="s">
        <v>91</v>
      </c>
      <c r="D264" s="21" t="s">
        <v>25</v>
      </c>
      <c r="E264" s="19"/>
      <c r="F264" s="19"/>
      <c r="G264" s="19"/>
    </row>
    <row r="265" customFormat="false" ht="15" hidden="false" customHeight="false" outlineLevel="0" collapsed="false">
      <c r="A265" s="20"/>
      <c r="B265" s="15" t="s">
        <v>92</v>
      </c>
      <c r="C265" s="15" t="s">
        <v>93</v>
      </c>
      <c r="D265" s="21" t="s">
        <v>25</v>
      </c>
      <c r="E265" s="19"/>
      <c r="F265" s="19"/>
      <c r="G265" s="19"/>
    </row>
    <row r="266" customFormat="false" ht="23.85" hidden="false" customHeight="false" outlineLevel="0" collapsed="false">
      <c r="A266" s="20"/>
      <c r="B266" s="15" t="s">
        <v>92</v>
      </c>
      <c r="C266" s="15" t="s">
        <v>94</v>
      </c>
      <c r="D266" s="21" t="s">
        <v>25</v>
      </c>
      <c r="E266" s="19"/>
      <c r="F266" s="19"/>
      <c r="G266" s="19"/>
    </row>
    <row r="267" customFormat="false" ht="15" hidden="false" customHeight="false" outlineLevel="0" collapsed="false">
      <c r="A267" s="20"/>
      <c r="B267" s="15" t="s">
        <v>92</v>
      </c>
      <c r="C267" s="15" t="s">
        <v>95</v>
      </c>
      <c r="D267" s="21" t="s">
        <v>25</v>
      </c>
      <c r="E267" s="19"/>
      <c r="F267" s="19"/>
      <c r="G267" s="19"/>
    </row>
    <row r="268" customFormat="false" ht="23.85" hidden="false" customHeight="false" outlineLevel="0" collapsed="false">
      <c r="A268" s="20"/>
      <c r="B268" s="15" t="s">
        <v>92</v>
      </c>
      <c r="C268" s="15" t="s">
        <v>96</v>
      </c>
      <c r="D268" s="21" t="s">
        <v>25</v>
      </c>
      <c r="E268" s="19"/>
      <c r="F268" s="19"/>
      <c r="G268" s="19"/>
    </row>
    <row r="269" customFormat="false" ht="23.85" hidden="false" customHeight="false" outlineLevel="0" collapsed="false">
      <c r="A269" s="20"/>
      <c r="B269" s="15" t="s">
        <v>92</v>
      </c>
      <c r="C269" s="15" t="s">
        <v>97</v>
      </c>
      <c r="D269" s="21" t="s">
        <v>25</v>
      </c>
      <c r="E269" s="19"/>
      <c r="F269" s="19"/>
      <c r="G269" s="19"/>
    </row>
    <row r="270" customFormat="false" ht="23.85" hidden="false" customHeight="false" outlineLevel="0" collapsed="false">
      <c r="A270" s="20"/>
      <c r="B270" s="15" t="s">
        <v>92</v>
      </c>
      <c r="C270" s="15" t="s">
        <v>98</v>
      </c>
      <c r="D270" s="21" t="s">
        <v>25</v>
      </c>
      <c r="E270" s="19"/>
      <c r="F270" s="19"/>
      <c r="G270" s="19"/>
    </row>
    <row r="271" customFormat="false" ht="23.85" hidden="false" customHeight="false" outlineLevel="0" collapsed="false">
      <c r="A271" s="20"/>
      <c r="B271" s="15" t="s">
        <v>99</v>
      </c>
      <c r="C271" s="15" t="s">
        <v>100</v>
      </c>
      <c r="D271" s="21" t="s">
        <v>25</v>
      </c>
      <c r="E271" s="19"/>
      <c r="F271" s="19"/>
      <c r="G271" s="19"/>
    </row>
    <row r="272" customFormat="false" ht="23.85" hidden="false" customHeight="false" outlineLevel="0" collapsed="false">
      <c r="A272" s="20"/>
      <c r="B272" s="15" t="s">
        <v>99</v>
      </c>
      <c r="C272" s="15" t="s">
        <v>101</v>
      </c>
      <c r="D272" s="21" t="s">
        <v>25</v>
      </c>
      <c r="E272" s="19"/>
      <c r="F272" s="19"/>
      <c r="G272" s="19"/>
    </row>
    <row r="273" customFormat="false" ht="23.85" hidden="false" customHeight="false" outlineLevel="0" collapsed="false">
      <c r="A273" s="20"/>
      <c r="B273" s="15" t="s">
        <v>99</v>
      </c>
      <c r="C273" s="15" t="s">
        <v>102</v>
      </c>
      <c r="D273" s="21" t="s">
        <v>25</v>
      </c>
      <c r="E273" s="19"/>
      <c r="F273" s="19"/>
      <c r="G273" s="19"/>
    </row>
    <row r="274" customFormat="false" ht="23.85" hidden="false" customHeight="false" outlineLevel="0" collapsed="false">
      <c r="A274" s="20"/>
      <c r="B274" s="15" t="s">
        <v>99</v>
      </c>
      <c r="C274" s="15" t="s">
        <v>103</v>
      </c>
      <c r="D274" s="21" t="s">
        <v>25</v>
      </c>
      <c r="E274" s="19"/>
      <c r="F274" s="19"/>
      <c r="G274" s="19"/>
    </row>
    <row r="275" customFormat="false" ht="23.85" hidden="false" customHeight="false" outlineLevel="0" collapsed="false">
      <c r="A275" s="20" t="s">
        <v>61</v>
      </c>
      <c r="B275" s="15" t="s">
        <v>69</v>
      </c>
      <c r="C275" s="15" t="s">
        <v>70</v>
      </c>
      <c r="D275" s="21" t="s">
        <v>25</v>
      </c>
      <c r="E275" s="19"/>
      <c r="F275" s="19"/>
      <c r="G275" s="19"/>
    </row>
    <row r="276" customFormat="false" ht="23.85" hidden="false" customHeight="false" outlineLevel="0" collapsed="false">
      <c r="A276" s="20"/>
      <c r="B276" s="15" t="s">
        <v>69</v>
      </c>
      <c r="C276" s="15" t="s">
        <v>71</v>
      </c>
      <c r="D276" s="21" t="s">
        <v>25</v>
      </c>
      <c r="E276" s="19"/>
      <c r="F276" s="19"/>
      <c r="G276" s="19"/>
    </row>
    <row r="277" customFormat="false" ht="23.85" hidden="false" customHeight="false" outlineLevel="0" collapsed="false">
      <c r="A277" s="20"/>
      <c r="B277" s="15" t="s">
        <v>69</v>
      </c>
      <c r="C277" s="15" t="s">
        <v>72</v>
      </c>
      <c r="D277" s="21" t="s">
        <v>25</v>
      </c>
      <c r="E277" s="19"/>
      <c r="F277" s="19"/>
      <c r="G277" s="19"/>
    </row>
    <row r="278" customFormat="false" ht="23.85" hidden="false" customHeight="false" outlineLevel="0" collapsed="false">
      <c r="A278" s="20"/>
      <c r="B278" s="15" t="s">
        <v>69</v>
      </c>
      <c r="C278" s="15" t="s">
        <v>73</v>
      </c>
      <c r="D278" s="21" t="s">
        <v>25</v>
      </c>
      <c r="E278" s="19"/>
      <c r="F278" s="19"/>
      <c r="G278" s="19"/>
    </row>
    <row r="279" customFormat="false" ht="23.85" hidden="false" customHeight="false" outlineLevel="0" collapsed="false">
      <c r="A279" s="20"/>
      <c r="B279" s="15" t="s">
        <v>69</v>
      </c>
      <c r="C279" s="15" t="s">
        <v>74</v>
      </c>
      <c r="D279" s="21" t="s">
        <v>25</v>
      </c>
      <c r="E279" s="19"/>
      <c r="F279" s="19"/>
      <c r="G279" s="19"/>
    </row>
    <row r="280" customFormat="false" ht="23.85" hidden="false" customHeight="false" outlineLevel="0" collapsed="false">
      <c r="A280" s="20"/>
      <c r="B280" s="15" t="s">
        <v>69</v>
      </c>
      <c r="C280" s="15" t="s">
        <v>75</v>
      </c>
      <c r="D280" s="21" t="s">
        <v>25</v>
      </c>
      <c r="E280" s="19"/>
      <c r="F280" s="19"/>
      <c r="G280" s="19"/>
    </row>
    <row r="281" customFormat="false" ht="23.85" hidden="false" customHeight="false" outlineLevel="0" collapsed="false">
      <c r="A281" s="20"/>
      <c r="B281" s="15" t="s">
        <v>76</v>
      </c>
      <c r="C281" s="15" t="s">
        <v>77</v>
      </c>
      <c r="D281" s="21" t="s">
        <v>25</v>
      </c>
      <c r="E281" s="19"/>
      <c r="F281" s="19"/>
      <c r="G281" s="19"/>
    </row>
    <row r="282" customFormat="false" ht="15" hidden="false" customHeight="false" outlineLevel="0" collapsed="false">
      <c r="A282" s="20"/>
      <c r="B282" s="15" t="s">
        <v>76</v>
      </c>
      <c r="C282" s="15" t="s">
        <v>78</v>
      </c>
      <c r="D282" s="21" t="s">
        <v>25</v>
      </c>
      <c r="E282" s="19"/>
      <c r="F282" s="19"/>
      <c r="G282" s="19"/>
    </row>
    <row r="283" customFormat="false" ht="15" hidden="false" customHeight="false" outlineLevel="0" collapsed="false">
      <c r="A283" s="20"/>
      <c r="B283" s="15" t="s">
        <v>76</v>
      </c>
      <c r="C283" s="15" t="s">
        <v>79</v>
      </c>
      <c r="D283" s="21" t="s">
        <v>25</v>
      </c>
      <c r="E283" s="19"/>
      <c r="F283" s="19"/>
      <c r="G283" s="19"/>
    </row>
    <row r="284" customFormat="false" ht="23.85" hidden="false" customHeight="false" outlineLevel="0" collapsed="false">
      <c r="A284" s="20"/>
      <c r="B284" s="15" t="s">
        <v>76</v>
      </c>
      <c r="C284" s="15" t="s">
        <v>80</v>
      </c>
      <c r="D284" s="21" t="s">
        <v>25</v>
      </c>
      <c r="E284" s="19"/>
      <c r="F284" s="19"/>
      <c r="G284" s="19"/>
    </row>
    <row r="285" customFormat="false" ht="15" hidden="false" customHeight="false" outlineLevel="0" collapsed="false">
      <c r="A285" s="20"/>
      <c r="B285" s="15" t="s">
        <v>76</v>
      </c>
      <c r="C285" s="15" t="s">
        <v>81</v>
      </c>
      <c r="D285" s="21" t="s">
        <v>25</v>
      </c>
      <c r="E285" s="19"/>
      <c r="F285" s="19"/>
      <c r="G285" s="19"/>
    </row>
    <row r="286" customFormat="false" ht="23.85" hidden="false" customHeight="false" outlineLevel="0" collapsed="false">
      <c r="A286" s="20"/>
      <c r="B286" s="15" t="s">
        <v>76</v>
      </c>
      <c r="C286" s="15" t="s">
        <v>82</v>
      </c>
      <c r="D286" s="21" t="s">
        <v>25</v>
      </c>
      <c r="E286" s="19"/>
      <c r="F286" s="19"/>
      <c r="G286" s="19"/>
    </row>
    <row r="287" customFormat="false" ht="15" hidden="false" customHeight="false" outlineLevel="0" collapsed="false">
      <c r="A287" s="20"/>
      <c r="B287" s="15" t="s">
        <v>76</v>
      </c>
      <c r="C287" s="15" t="s">
        <v>83</v>
      </c>
      <c r="D287" s="21" t="s">
        <v>25</v>
      </c>
      <c r="E287" s="19"/>
      <c r="F287" s="19"/>
      <c r="G287" s="19"/>
    </row>
    <row r="288" customFormat="false" ht="23.85" hidden="false" customHeight="false" outlineLevel="0" collapsed="false">
      <c r="A288" s="20"/>
      <c r="B288" s="15" t="s">
        <v>84</v>
      </c>
      <c r="C288" s="15" t="s">
        <v>85</v>
      </c>
      <c r="D288" s="21" t="s">
        <v>25</v>
      </c>
      <c r="E288" s="19"/>
      <c r="F288" s="19"/>
      <c r="G288" s="19"/>
    </row>
    <row r="289" customFormat="false" ht="23.85" hidden="false" customHeight="false" outlineLevel="0" collapsed="false">
      <c r="A289" s="20"/>
      <c r="B289" s="15" t="s">
        <v>84</v>
      </c>
      <c r="C289" s="15" t="s">
        <v>86</v>
      </c>
      <c r="D289" s="21" t="s">
        <v>25</v>
      </c>
      <c r="E289" s="19"/>
      <c r="F289" s="19"/>
      <c r="G289" s="19"/>
    </row>
    <row r="290" customFormat="false" ht="23.85" hidden="false" customHeight="false" outlineLevel="0" collapsed="false">
      <c r="A290" s="20"/>
      <c r="B290" s="15" t="s">
        <v>84</v>
      </c>
      <c r="C290" s="15" t="s">
        <v>87</v>
      </c>
      <c r="D290" s="21" t="s">
        <v>25</v>
      </c>
      <c r="E290" s="19"/>
      <c r="F290" s="19"/>
      <c r="G290" s="19"/>
    </row>
    <row r="291" customFormat="false" ht="23.85" hidden="false" customHeight="false" outlineLevel="0" collapsed="false">
      <c r="A291" s="20"/>
      <c r="B291" s="15" t="s">
        <v>84</v>
      </c>
      <c r="C291" s="15" t="s">
        <v>88</v>
      </c>
      <c r="D291" s="21" t="s">
        <v>25</v>
      </c>
      <c r="E291" s="19"/>
      <c r="F291" s="19"/>
      <c r="G291" s="19"/>
    </row>
    <row r="292" customFormat="false" ht="23.85" hidden="false" customHeight="false" outlineLevel="0" collapsed="false">
      <c r="A292" s="20"/>
      <c r="B292" s="15" t="s">
        <v>84</v>
      </c>
      <c r="C292" s="15" t="s">
        <v>89</v>
      </c>
      <c r="D292" s="21" t="s">
        <v>25</v>
      </c>
      <c r="E292" s="19"/>
      <c r="F292" s="19"/>
      <c r="G292" s="19"/>
    </row>
    <row r="293" customFormat="false" ht="23.85" hidden="false" customHeight="false" outlineLevel="0" collapsed="false">
      <c r="A293" s="20"/>
      <c r="B293" s="15" t="s">
        <v>84</v>
      </c>
      <c r="C293" s="15" t="s">
        <v>90</v>
      </c>
      <c r="D293" s="21" t="s">
        <v>25</v>
      </c>
      <c r="E293" s="19"/>
      <c r="F293" s="19"/>
      <c r="G293" s="19"/>
    </row>
    <row r="294" customFormat="false" ht="23.85" hidden="false" customHeight="false" outlineLevel="0" collapsed="false">
      <c r="A294" s="20"/>
      <c r="B294" s="15" t="s">
        <v>84</v>
      </c>
      <c r="C294" s="15" t="s">
        <v>91</v>
      </c>
      <c r="D294" s="21" t="s">
        <v>25</v>
      </c>
      <c r="E294" s="19"/>
      <c r="F294" s="19"/>
      <c r="G294" s="19"/>
    </row>
    <row r="295" customFormat="false" ht="15" hidden="false" customHeight="false" outlineLevel="0" collapsed="false">
      <c r="A295" s="20"/>
      <c r="B295" s="15" t="s">
        <v>92</v>
      </c>
      <c r="C295" s="15" t="s">
        <v>93</v>
      </c>
      <c r="D295" s="21" t="s">
        <v>25</v>
      </c>
      <c r="E295" s="19"/>
      <c r="F295" s="19"/>
      <c r="G295" s="19"/>
    </row>
    <row r="296" customFormat="false" ht="23.85" hidden="false" customHeight="false" outlineLevel="0" collapsed="false">
      <c r="A296" s="20"/>
      <c r="B296" s="15" t="s">
        <v>92</v>
      </c>
      <c r="C296" s="15" t="s">
        <v>94</v>
      </c>
      <c r="D296" s="21" t="s">
        <v>25</v>
      </c>
      <c r="E296" s="19"/>
      <c r="F296" s="19"/>
      <c r="G296" s="19"/>
    </row>
    <row r="297" customFormat="false" ht="15" hidden="false" customHeight="false" outlineLevel="0" collapsed="false">
      <c r="A297" s="20"/>
      <c r="B297" s="15" t="s">
        <v>92</v>
      </c>
      <c r="C297" s="15" t="s">
        <v>95</v>
      </c>
      <c r="D297" s="21" t="s">
        <v>25</v>
      </c>
      <c r="E297" s="19"/>
      <c r="F297" s="19"/>
      <c r="G297" s="19"/>
    </row>
    <row r="298" customFormat="false" ht="23.85" hidden="false" customHeight="false" outlineLevel="0" collapsed="false">
      <c r="A298" s="20"/>
      <c r="B298" s="15" t="s">
        <v>92</v>
      </c>
      <c r="C298" s="15" t="s">
        <v>96</v>
      </c>
      <c r="D298" s="21" t="s">
        <v>25</v>
      </c>
      <c r="E298" s="19"/>
      <c r="F298" s="19"/>
      <c r="G298" s="19"/>
    </row>
    <row r="299" customFormat="false" ht="23.85" hidden="false" customHeight="false" outlineLevel="0" collapsed="false">
      <c r="A299" s="20"/>
      <c r="B299" s="15" t="s">
        <v>92</v>
      </c>
      <c r="C299" s="15" t="s">
        <v>97</v>
      </c>
      <c r="D299" s="21" t="s">
        <v>25</v>
      </c>
      <c r="E299" s="19"/>
      <c r="F299" s="19"/>
      <c r="G299" s="19"/>
    </row>
    <row r="300" customFormat="false" ht="23.85" hidden="false" customHeight="false" outlineLevel="0" collapsed="false">
      <c r="A300" s="20"/>
      <c r="B300" s="15" t="s">
        <v>92</v>
      </c>
      <c r="C300" s="15" t="s">
        <v>98</v>
      </c>
      <c r="D300" s="21" t="s">
        <v>25</v>
      </c>
      <c r="E300" s="19"/>
      <c r="F300" s="19"/>
      <c r="G300" s="19"/>
    </row>
    <row r="301" customFormat="false" ht="23.85" hidden="false" customHeight="false" outlineLevel="0" collapsed="false">
      <c r="A301" s="20"/>
      <c r="B301" s="15" t="s">
        <v>99</v>
      </c>
      <c r="C301" s="15" t="s">
        <v>100</v>
      </c>
      <c r="D301" s="21" t="s">
        <v>25</v>
      </c>
      <c r="E301" s="19"/>
      <c r="F301" s="19"/>
      <c r="G301" s="19"/>
    </row>
    <row r="302" customFormat="false" ht="23.85" hidden="false" customHeight="false" outlineLevel="0" collapsed="false">
      <c r="A302" s="20"/>
      <c r="B302" s="15" t="s">
        <v>99</v>
      </c>
      <c r="C302" s="15" t="s">
        <v>101</v>
      </c>
      <c r="D302" s="21" t="s">
        <v>25</v>
      </c>
      <c r="E302" s="19"/>
      <c r="F302" s="19"/>
      <c r="G302" s="19"/>
    </row>
    <row r="303" customFormat="false" ht="23.85" hidden="false" customHeight="false" outlineLevel="0" collapsed="false">
      <c r="A303" s="20"/>
      <c r="B303" s="15" t="s">
        <v>99</v>
      </c>
      <c r="C303" s="15" t="s">
        <v>102</v>
      </c>
      <c r="D303" s="21" t="s">
        <v>25</v>
      </c>
      <c r="E303" s="19"/>
      <c r="F303" s="19"/>
      <c r="G303" s="19"/>
    </row>
    <row r="304" customFormat="false" ht="23.85" hidden="false" customHeight="false" outlineLevel="0" collapsed="false">
      <c r="A304" s="20"/>
      <c r="B304" s="15" t="s">
        <v>99</v>
      </c>
      <c r="C304" s="15" t="s">
        <v>103</v>
      </c>
      <c r="D304" s="21" t="s">
        <v>25</v>
      </c>
      <c r="E304" s="19"/>
      <c r="F304" s="19"/>
      <c r="G304" s="19"/>
    </row>
  </sheetData>
  <mergeCells count="12">
    <mergeCell ref="A1:G1"/>
    <mergeCell ref="A2:G2"/>
    <mergeCell ref="A5:A34"/>
    <mergeCell ref="A35:A64"/>
    <mergeCell ref="A65:A94"/>
    <mergeCell ref="A95:A124"/>
    <mergeCell ref="A125:A154"/>
    <mergeCell ref="A155:A184"/>
    <mergeCell ref="A185:A214"/>
    <mergeCell ref="A215:A244"/>
    <mergeCell ref="A245:A274"/>
    <mergeCell ref="A275:A304"/>
  </mergeCells>
  <conditionalFormatting sqref="D5:D30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"Pendente"</formula>
    </cfRule>
    <cfRule type="cellIs" priority="4" operator="equal" aboveAverage="0" equalAverage="0" bottom="0" percent="0" rank="0" text="" dxfId="2">
      <formula>"Falhou"</formula>
    </cfRule>
  </conditionalFormatting>
  <dataValidations count="1">
    <dataValidation allowBlank="true" errorStyle="stop" operator="between" showDropDown="false" showErrorMessage="false" showInputMessage="false" sqref="D5:D304" type="list">
      <formula1>"OK,Pendente,Falhou,N/A"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26"/>
  </cols>
  <sheetData>
    <row r="1" customFormat="false" ht="30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14" t="s">
        <v>44</v>
      </c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111</v>
      </c>
      <c r="H4" s="14" t="s">
        <v>112</v>
      </c>
      <c r="I4" s="14" t="s">
        <v>113</v>
      </c>
      <c r="J4" s="14" t="s">
        <v>114</v>
      </c>
      <c r="K4" s="14" t="s">
        <v>115</v>
      </c>
      <c r="L4" s="14" t="s">
        <v>116</v>
      </c>
      <c r="M4" s="14" t="s">
        <v>117</v>
      </c>
    </row>
    <row r="5" customFormat="false" ht="19.5" hidden="false" customHeight="true" outlineLevel="0" collapsed="false">
      <c r="A5" s="18" t="s">
        <v>52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customFormat="false" ht="19.5" hidden="false" customHeight="true" outlineLevel="0" collapsed="false">
      <c r="A6" s="18" t="s">
        <v>53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customFormat="false" ht="19.5" hidden="false" customHeight="true" outlineLevel="0" collapsed="false">
      <c r="A7" s="18" t="s">
        <v>54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customFormat="false" ht="19.5" hidden="false" customHeight="true" outlineLevel="0" collapsed="false">
      <c r="A8" s="18" t="s">
        <v>55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customFormat="false" ht="19.5" hidden="false" customHeight="true" outlineLevel="0" collapsed="false">
      <c r="A9" s="18" t="s">
        <v>56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customFormat="false" ht="19.5" hidden="false" customHeight="true" outlineLevel="0" collapsed="false">
      <c r="A10" s="18" t="s">
        <v>57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customFormat="false" ht="19.5" hidden="false" customHeight="true" outlineLevel="0" collapsed="false">
      <c r="A11" s="18" t="s">
        <v>58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customFormat="false" ht="19.5" hidden="false" customHeight="true" outlineLevel="0" collapsed="false">
      <c r="A12" s="18" t="s">
        <v>59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customFormat="false" ht="19.5" hidden="false" customHeight="true" outlineLevel="0" collapsed="false">
      <c r="A13" s="18" t="s">
        <v>60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customFormat="false" ht="19.5" hidden="false" customHeight="true" outlineLevel="0" collapsed="false">
      <c r="A14" s="18" t="s">
        <v>61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6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26"/>
  </cols>
  <sheetData>
    <row r="1" customFormat="false" ht="30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14" t="s">
        <v>44</v>
      </c>
      <c r="B4" s="14" t="s">
        <v>120</v>
      </c>
      <c r="C4" s="14" t="s">
        <v>32</v>
      </c>
      <c r="D4" s="14" t="s">
        <v>121</v>
      </c>
      <c r="E4" s="14" t="s">
        <v>122</v>
      </c>
      <c r="F4" s="14" t="s">
        <v>123</v>
      </c>
      <c r="G4" s="14" t="s">
        <v>124</v>
      </c>
      <c r="H4" s="14" t="s">
        <v>125</v>
      </c>
      <c r="I4" s="14" t="s">
        <v>126</v>
      </c>
      <c r="J4" s="14" t="s">
        <v>127</v>
      </c>
      <c r="K4" s="14" t="s">
        <v>66</v>
      </c>
      <c r="L4" s="14" t="s">
        <v>51</v>
      </c>
    </row>
    <row r="5" customFormat="false" ht="15" hidden="false" customHeight="false" outlineLevel="0" collapsed="false">
      <c r="A5" s="20" t="s">
        <v>52</v>
      </c>
      <c r="B5" s="15" t="s">
        <v>128</v>
      </c>
      <c r="C5" s="15" t="s">
        <v>35</v>
      </c>
      <c r="D5" s="19"/>
      <c r="E5" s="19"/>
      <c r="F5" s="15" t="s">
        <v>129</v>
      </c>
      <c r="G5" s="19"/>
      <c r="H5" s="19"/>
      <c r="I5" s="19"/>
      <c r="J5" s="19"/>
      <c r="K5" s="21" t="s">
        <v>25</v>
      </c>
      <c r="L5" s="19"/>
    </row>
    <row r="6" customFormat="false" ht="15" hidden="false" customHeight="false" outlineLevel="0" collapsed="false">
      <c r="A6" s="20"/>
      <c r="B6" s="15" t="s">
        <v>130</v>
      </c>
      <c r="C6" s="15" t="s">
        <v>36</v>
      </c>
      <c r="D6" s="19"/>
      <c r="E6" s="19"/>
      <c r="F6" s="15" t="s">
        <v>131</v>
      </c>
      <c r="G6" s="19"/>
      <c r="H6" s="19"/>
      <c r="I6" s="19"/>
      <c r="J6" s="19"/>
      <c r="K6" s="21" t="s">
        <v>25</v>
      </c>
      <c r="L6" s="19"/>
    </row>
    <row r="7" customFormat="false" ht="23.85" hidden="false" customHeight="false" outlineLevel="0" collapsed="false">
      <c r="A7" s="20"/>
      <c r="B7" s="15" t="s">
        <v>132</v>
      </c>
      <c r="C7" s="15" t="s">
        <v>37</v>
      </c>
      <c r="D7" s="19"/>
      <c r="E7" s="19"/>
      <c r="F7" s="15" t="s">
        <v>133</v>
      </c>
      <c r="G7" s="19"/>
      <c r="H7" s="19"/>
      <c r="I7" s="19"/>
      <c r="J7" s="19"/>
      <c r="K7" s="21" t="s">
        <v>25</v>
      </c>
      <c r="L7" s="19"/>
    </row>
    <row r="8" customFormat="false" ht="23.85" hidden="false" customHeight="false" outlineLevel="0" collapsed="false">
      <c r="A8" s="20"/>
      <c r="B8" s="15" t="s">
        <v>132</v>
      </c>
      <c r="C8" s="15" t="s">
        <v>38</v>
      </c>
      <c r="D8" s="19"/>
      <c r="E8" s="19"/>
      <c r="F8" s="15" t="s">
        <v>133</v>
      </c>
      <c r="G8" s="19"/>
      <c r="H8" s="19"/>
      <c r="I8" s="19"/>
      <c r="J8" s="19"/>
      <c r="K8" s="21" t="s">
        <v>25</v>
      </c>
      <c r="L8" s="19"/>
    </row>
    <row r="9" customFormat="false" ht="23.85" hidden="false" customHeight="false" outlineLevel="0" collapsed="false">
      <c r="A9" s="20"/>
      <c r="B9" s="15" t="s">
        <v>134</v>
      </c>
      <c r="C9" s="15" t="s">
        <v>39</v>
      </c>
      <c r="D9" s="19"/>
      <c r="E9" s="19"/>
      <c r="F9" s="15" t="s">
        <v>135</v>
      </c>
      <c r="G9" s="19"/>
      <c r="H9" s="19"/>
      <c r="I9" s="19"/>
      <c r="J9" s="19"/>
      <c r="K9" s="21" t="s">
        <v>25</v>
      </c>
      <c r="L9" s="19"/>
    </row>
    <row r="10" customFormat="false" ht="35.05" hidden="false" customHeight="false" outlineLevel="0" collapsed="false">
      <c r="A10" s="20"/>
      <c r="B10" s="15" t="s">
        <v>134</v>
      </c>
      <c r="C10" s="15" t="s">
        <v>40</v>
      </c>
      <c r="D10" s="19"/>
      <c r="E10" s="19"/>
      <c r="F10" s="15" t="s">
        <v>133</v>
      </c>
      <c r="G10" s="19"/>
      <c r="H10" s="19"/>
      <c r="I10" s="19"/>
      <c r="J10" s="19"/>
      <c r="K10" s="21" t="s">
        <v>25</v>
      </c>
      <c r="L10" s="19"/>
    </row>
    <row r="11" customFormat="false" ht="15" hidden="false" customHeight="false" outlineLevel="0" collapsed="false">
      <c r="A11" s="20" t="s">
        <v>53</v>
      </c>
      <c r="B11" s="15" t="s">
        <v>128</v>
      </c>
      <c r="C11" s="15" t="s">
        <v>35</v>
      </c>
      <c r="D11" s="19"/>
      <c r="E11" s="19"/>
      <c r="F11" s="15" t="s">
        <v>129</v>
      </c>
      <c r="G11" s="19"/>
      <c r="H11" s="19"/>
      <c r="I11" s="19"/>
      <c r="J11" s="19"/>
      <c r="K11" s="21" t="s">
        <v>25</v>
      </c>
      <c r="L11" s="19"/>
    </row>
    <row r="12" customFormat="false" ht="15" hidden="false" customHeight="false" outlineLevel="0" collapsed="false">
      <c r="A12" s="20"/>
      <c r="B12" s="15" t="s">
        <v>130</v>
      </c>
      <c r="C12" s="15" t="s">
        <v>36</v>
      </c>
      <c r="D12" s="19"/>
      <c r="E12" s="19"/>
      <c r="F12" s="15" t="s">
        <v>131</v>
      </c>
      <c r="G12" s="19"/>
      <c r="H12" s="19"/>
      <c r="I12" s="19"/>
      <c r="J12" s="19"/>
      <c r="K12" s="21" t="s">
        <v>25</v>
      </c>
      <c r="L12" s="19"/>
    </row>
    <row r="13" customFormat="false" ht="23.85" hidden="false" customHeight="false" outlineLevel="0" collapsed="false">
      <c r="A13" s="20"/>
      <c r="B13" s="15" t="s">
        <v>132</v>
      </c>
      <c r="C13" s="15" t="s">
        <v>37</v>
      </c>
      <c r="D13" s="19"/>
      <c r="E13" s="19"/>
      <c r="F13" s="15" t="s">
        <v>133</v>
      </c>
      <c r="G13" s="19"/>
      <c r="H13" s="19"/>
      <c r="I13" s="19"/>
      <c r="J13" s="19"/>
      <c r="K13" s="21" t="s">
        <v>25</v>
      </c>
      <c r="L13" s="19"/>
    </row>
    <row r="14" customFormat="false" ht="23.85" hidden="false" customHeight="false" outlineLevel="0" collapsed="false">
      <c r="A14" s="20"/>
      <c r="B14" s="15" t="s">
        <v>132</v>
      </c>
      <c r="C14" s="15" t="s">
        <v>38</v>
      </c>
      <c r="D14" s="19"/>
      <c r="E14" s="19"/>
      <c r="F14" s="15" t="s">
        <v>133</v>
      </c>
      <c r="G14" s="19"/>
      <c r="H14" s="19"/>
      <c r="I14" s="19"/>
      <c r="J14" s="19"/>
      <c r="K14" s="21" t="s">
        <v>25</v>
      </c>
      <c r="L14" s="19"/>
    </row>
    <row r="15" customFormat="false" ht="23.85" hidden="false" customHeight="false" outlineLevel="0" collapsed="false">
      <c r="A15" s="20"/>
      <c r="B15" s="15" t="s">
        <v>134</v>
      </c>
      <c r="C15" s="15" t="s">
        <v>39</v>
      </c>
      <c r="D15" s="19"/>
      <c r="E15" s="19"/>
      <c r="F15" s="15" t="s">
        <v>135</v>
      </c>
      <c r="G15" s="19"/>
      <c r="H15" s="19"/>
      <c r="I15" s="19"/>
      <c r="J15" s="19"/>
      <c r="K15" s="21" t="s">
        <v>25</v>
      </c>
      <c r="L15" s="19"/>
    </row>
    <row r="16" customFormat="false" ht="35.05" hidden="false" customHeight="false" outlineLevel="0" collapsed="false">
      <c r="A16" s="20"/>
      <c r="B16" s="15" t="s">
        <v>134</v>
      </c>
      <c r="C16" s="15" t="s">
        <v>40</v>
      </c>
      <c r="D16" s="19"/>
      <c r="E16" s="19"/>
      <c r="F16" s="15" t="s">
        <v>133</v>
      </c>
      <c r="G16" s="19"/>
      <c r="H16" s="19"/>
      <c r="I16" s="19"/>
      <c r="J16" s="19"/>
      <c r="K16" s="21" t="s">
        <v>25</v>
      </c>
      <c r="L16" s="19"/>
    </row>
    <row r="17" customFormat="false" ht="15" hidden="false" customHeight="false" outlineLevel="0" collapsed="false">
      <c r="A17" s="20" t="s">
        <v>54</v>
      </c>
      <c r="B17" s="15" t="s">
        <v>128</v>
      </c>
      <c r="C17" s="15" t="s">
        <v>35</v>
      </c>
      <c r="D17" s="19"/>
      <c r="E17" s="19"/>
      <c r="F17" s="15" t="s">
        <v>129</v>
      </c>
      <c r="G17" s="19"/>
      <c r="H17" s="19"/>
      <c r="I17" s="19"/>
      <c r="J17" s="19"/>
      <c r="K17" s="21" t="s">
        <v>25</v>
      </c>
      <c r="L17" s="19"/>
    </row>
    <row r="18" customFormat="false" ht="15" hidden="false" customHeight="false" outlineLevel="0" collapsed="false">
      <c r="A18" s="20"/>
      <c r="B18" s="15" t="s">
        <v>130</v>
      </c>
      <c r="C18" s="15" t="s">
        <v>36</v>
      </c>
      <c r="D18" s="19"/>
      <c r="E18" s="19"/>
      <c r="F18" s="15" t="s">
        <v>131</v>
      </c>
      <c r="G18" s="19"/>
      <c r="H18" s="19"/>
      <c r="I18" s="19"/>
      <c r="J18" s="19"/>
      <c r="K18" s="21" t="s">
        <v>25</v>
      </c>
      <c r="L18" s="19"/>
    </row>
    <row r="19" customFormat="false" ht="23.85" hidden="false" customHeight="false" outlineLevel="0" collapsed="false">
      <c r="A19" s="20"/>
      <c r="B19" s="15" t="s">
        <v>132</v>
      </c>
      <c r="C19" s="15" t="s">
        <v>37</v>
      </c>
      <c r="D19" s="19"/>
      <c r="E19" s="19"/>
      <c r="F19" s="15" t="s">
        <v>133</v>
      </c>
      <c r="G19" s="19"/>
      <c r="H19" s="19"/>
      <c r="I19" s="19"/>
      <c r="J19" s="19"/>
      <c r="K19" s="21" t="s">
        <v>25</v>
      </c>
      <c r="L19" s="19"/>
    </row>
    <row r="20" customFormat="false" ht="23.85" hidden="false" customHeight="false" outlineLevel="0" collapsed="false">
      <c r="A20" s="20"/>
      <c r="B20" s="15" t="s">
        <v>132</v>
      </c>
      <c r="C20" s="15" t="s">
        <v>38</v>
      </c>
      <c r="D20" s="19"/>
      <c r="E20" s="19"/>
      <c r="F20" s="15" t="s">
        <v>133</v>
      </c>
      <c r="G20" s="19"/>
      <c r="H20" s="19"/>
      <c r="I20" s="19"/>
      <c r="J20" s="19"/>
      <c r="K20" s="21" t="s">
        <v>25</v>
      </c>
      <c r="L20" s="19"/>
    </row>
    <row r="21" customFormat="false" ht="23.85" hidden="false" customHeight="false" outlineLevel="0" collapsed="false">
      <c r="A21" s="20"/>
      <c r="B21" s="15" t="s">
        <v>134</v>
      </c>
      <c r="C21" s="15" t="s">
        <v>39</v>
      </c>
      <c r="D21" s="19"/>
      <c r="E21" s="19"/>
      <c r="F21" s="15" t="s">
        <v>135</v>
      </c>
      <c r="G21" s="19"/>
      <c r="H21" s="19"/>
      <c r="I21" s="19"/>
      <c r="J21" s="19"/>
      <c r="K21" s="21" t="s">
        <v>25</v>
      </c>
      <c r="L21" s="19"/>
    </row>
    <row r="22" customFormat="false" ht="35.05" hidden="false" customHeight="false" outlineLevel="0" collapsed="false">
      <c r="A22" s="20"/>
      <c r="B22" s="15" t="s">
        <v>134</v>
      </c>
      <c r="C22" s="15" t="s">
        <v>40</v>
      </c>
      <c r="D22" s="19"/>
      <c r="E22" s="19"/>
      <c r="F22" s="15" t="s">
        <v>133</v>
      </c>
      <c r="G22" s="19"/>
      <c r="H22" s="19"/>
      <c r="I22" s="19"/>
      <c r="J22" s="19"/>
      <c r="K22" s="21" t="s">
        <v>25</v>
      </c>
      <c r="L22" s="19"/>
    </row>
    <row r="23" customFormat="false" ht="15" hidden="false" customHeight="false" outlineLevel="0" collapsed="false">
      <c r="A23" s="20" t="s">
        <v>55</v>
      </c>
      <c r="B23" s="15" t="s">
        <v>128</v>
      </c>
      <c r="C23" s="15" t="s">
        <v>35</v>
      </c>
      <c r="D23" s="19"/>
      <c r="E23" s="19"/>
      <c r="F23" s="15" t="s">
        <v>129</v>
      </c>
      <c r="G23" s="19"/>
      <c r="H23" s="19"/>
      <c r="I23" s="19"/>
      <c r="J23" s="19"/>
      <c r="K23" s="21" t="s">
        <v>25</v>
      </c>
      <c r="L23" s="19"/>
    </row>
    <row r="24" customFormat="false" ht="15" hidden="false" customHeight="false" outlineLevel="0" collapsed="false">
      <c r="A24" s="20"/>
      <c r="B24" s="15" t="s">
        <v>130</v>
      </c>
      <c r="C24" s="15" t="s">
        <v>36</v>
      </c>
      <c r="D24" s="19"/>
      <c r="E24" s="19"/>
      <c r="F24" s="15" t="s">
        <v>131</v>
      </c>
      <c r="G24" s="19"/>
      <c r="H24" s="19"/>
      <c r="I24" s="19"/>
      <c r="J24" s="19"/>
      <c r="K24" s="21" t="s">
        <v>25</v>
      </c>
      <c r="L24" s="19"/>
    </row>
    <row r="25" customFormat="false" ht="23.85" hidden="false" customHeight="false" outlineLevel="0" collapsed="false">
      <c r="A25" s="20"/>
      <c r="B25" s="15" t="s">
        <v>132</v>
      </c>
      <c r="C25" s="15" t="s">
        <v>37</v>
      </c>
      <c r="D25" s="19"/>
      <c r="E25" s="19"/>
      <c r="F25" s="15" t="s">
        <v>133</v>
      </c>
      <c r="G25" s="19"/>
      <c r="H25" s="19"/>
      <c r="I25" s="19"/>
      <c r="J25" s="19"/>
      <c r="K25" s="21" t="s">
        <v>25</v>
      </c>
      <c r="L25" s="19"/>
    </row>
    <row r="26" customFormat="false" ht="23.85" hidden="false" customHeight="false" outlineLevel="0" collapsed="false">
      <c r="A26" s="20"/>
      <c r="B26" s="15" t="s">
        <v>132</v>
      </c>
      <c r="C26" s="15" t="s">
        <v>38</v>
      </c>
      <c r="D26" s="19"/>
      <c r="E26" s="19"/>
      <c r="F26" s="15" t="s">
        <v>133</v>
      </c>
      <c r="G26" s="19"/>
      <c r="H26" s="19"/>
      <c r="I26" s="19"/>
      <c r="J26" s="19"/>
      <c r="K26" s="21" t="s">
        <v>25</v>
      </c>
      <c r="L26" s="19"/>
    </row>
    <row r="27" customFormat="false" ht="23.85" hidden="false" customHeight="false" outlineLevel="0" collapsed="false">
      <c r="A27" s="20"/>
      <c r="B27" s="15" t="s">
        <v>134</v>
      </c>
      <c r="C27" s="15" t="s">
        <v>39</v>
      </c>
      <c r="D27" s="19"/>
      <c r="E27" s="19"/>
      <c r="F27" s="15" t="s">
        <v>135</v>
      </c>
      <c r="G27" s="19"/>
      <c r="H27" s="19"/>
      <c r="I27" s="19"/>
      <c r="J27" s="19"/>
      <c r="K27" s="21" t="s">
        <v>25</v>
      </c>
      <c r="L27" s="19"/>
    </row>
    <row r="28" customFormat="false" ht="35.05" hidden="false" customHeight="false" outlineLevel="0" collapsed="false">
      <c r="A28" s="20"/>
      <c r="B28" s="15" t="s">
        <v>134</v>
      </c>
      <c r="C28" s="15" t="s">
        <v>40</v>
      </c>
      <c r="D28" s="19"/>
      <c r="E28" s="19"/>
      <c r="F28" s="15" t="s">
        <v>133</v>
      </c>
      <c r="G28" s="19"/>
      <c r="H28" s="19"/>
      <c r="I28" s="19"/>
      <c r="J28" s="19"/>
      <c r="K28" s="21" t="s">
        <v>25</v>
      </c>
      <c r="L28" s="19"/>
    </row>
    <row r="29" customFormat="false" ht="15" hidden="false" customHeight="false" outlineLevel="0" collapsed="false">
      <c r="A29" s="20" t="s">
        <v>56</v>
      </c>
      <c r="B29" s="15" t="s">
        <v>128</v>
      </c>
      <c r="C29" s="15" t="s">
        <v>35</v>
      </c>
      <c r="D29" s="19"/>
      <c r="E29" s="19"/>
      <c r="F29" s="15" t="s">
        <v>129</v>
      </c>
      <c r="G29" s="19"/>
      <c r="H29" s="19"/>
      <c r="I29" s="19"/>
      <c r="J29" s="19"/>
      <c r="K29" s="21" t="s">
        <v>25</v>
      </c>
      <c r="L29" s="19"/>
    </row>
    <row r="30" customFormat="false" ht="15" hidden="false" customHeight="false" outlineLevel="0" collapsed="false">
      <c r="A30" s="20"/>
      <c r="B30" s="15" t="s">
        <v>130</v>
      </c>
      <c r="C30" s="15" t="s">
        <v>36</v>
      </c>
      <c r="D30" s="19"/>
      <c r="E30" s="19"/>
      <c r="F30" s="15" t="s">
        <v>131</v>
      </c>
      <c r="G30" s="19"/>
      <c r="H30" s="19"/>
      <c r="I30" s="19"/>
      <c r="J30" s="19"/>
      <c r="K30" s="21" t="s">
        <v>25</v>
      </c>
      <c r="L30" s="19"/>
    </row>
    <row r="31" customFormat="false" ht="23.85" hidden="false" customHeight="false" outlineLevel="0" collapsed="false">
      <c r="A31" s="20"/>
      <c r="B31" s="15" t="s">
        <v>132</v>
      </c>
      <c r="C31" s="15" t="s">
        <v>37</v>
      </c>
      <c r="D31" s="19"/>
      <c r="E31" s="19"/>
      <c r="F31" s="15" t="s">
        <v>133</v>
      </c>
      <c r="G31" s="19"/>
      <c r="H31" s="19"/>
      <c r="I31" s="19"/>
      <c r="J31" s="19"/>
      <c r="K31" s="21" t="s">
        <v>25</v>
      </c>
      <c r="L31" s="19"/>
    </row>
    <row r="32" customFormat="false" ht="23.85" hidden="false" customHeight="false" outlineLevel="0" collapsed="false">
      <c r="A32" s="20"/>
      <c r="B32" s="15" t="s">
        <v>132</v>
      </c>
      <c r="C32" s="15" t="s">
        <v>38</v>
      </c>
      <c r="D32" s="19"/>
      <c r="E32" s="19"/>
      <c r="F32" s="15" t="s">
        <v>133</v>
      </c>
      <c r="G32" s="19"/>
      <c r="H32" s="19"/>
      <c r="I32" s="19"/>
      <c r="J32" s="19"/>
      <c r="K32" s="21" t="s">
        <v>25</v>
      </c>
      <c r="L32" s="19"/>
    </row>
    <row r="33" customFormat="false" ht="23.85" hidden="false" customHeight="false" outlineLevel="0" collapsed="false">
      <c r="A33" s="20"/>
      <c r="B33" s="15" t="s">
        <v>134</v>
      </c>
      <c r="C33" s="15" t="s">
        <v>39</v>
      </c>
      <c r="D33" s="19"/>
      <c r="E33" s="19"/>
      <c r="F33" s="15" t="s">
        <v>135</v>
      </c>
      <c r="G33" s="19"/>
      <c r="H33" s="19"/>
      <c r="I33" s="19"/>
      <c r="J33" s="19"/>
      <c r="K33" s="21" t="s">
        <v>25</v>
      </c>
      <c r="L33" s="19"/>
    </row>
    <row r="34" customFormat="false" ht="35.05" hidden="false" customHeight="false" outlineLevel="0" collapsed="false">
      <c r="A34" s="20"/>
      <c r="B34" s="15" t="s">
        <v>134</v>
      </c>
      <c r="C34" s="15" t="s">
        <v>40</v>
      </c>
      <c r="D34" s="19"/>
      <c r="E34" s="19"/>
      <c r="F34" s="15" t="s">
        <v>133</v>
      </c>
      <c r="G34" s="19"/>
      <c r="H34" s="19"/>
      <c r="I34" s="19"/>
      <c r="J34" s="19"/>
      <c r="K34" s="21" t="s">
        <v>25</v>
      </c>
      <c r="L34" s="19"/>
    </row>
    <row r="35" customFormat="false" ht="15" hidden="false" customHeight="false" outlineLevel="0" collapsed="false">
      <c r="A35" s="20" t="s">
        <v>57</v>
      </c>
      <c r="B35" s="15" t="s">
        <v>128</v>
      </c>
      <c r="C35" s="15" t="s">
        <v>35</v>
      </c>
      <c r="D35" s="19"/>
      <c r="E35" s="19"/>
      <c r="F35" s="15" t="s">
        <v>129</v>
      </c>
      <c r="G35" s="19"/>
      <c r="H35" s="19"/>
      <c r="I35" s="19"/>
      <c r="J35" s="19"/>
      <c r="K35" s="21" t="s">
        <v>25</v>
      </c>
      <c r="L35" s="19"/>
    </row>
    <row r="36" customFormat="false" ht="15" hidden="false" customHeight="false" outlineLevel="0" collapsed="false">
      <c r="A36" s="20"/>
      <c r="B36" s="15" t="s">
        <v>130</v>
      </c>
      <c r="C36" s="15" t="s">
        <v>36</v>
      </c>
      <c r="D36" s="19"/>
      <c r="E36" s="19"/>
      <c r="F36" s="15" t="s">
        <v>131</v>
      </c>
      <c r="G36" s="19"/>
      <c r="H36" s="19"/>
      <c r="I36" s="19"/>
      <c r="J36" s="19"/>
      <c r="K36" s="21" t="s">
        <v>25</v>
      </c>
      <c r="L36" s="19"/>
    </row>
    <row r="37" customFormat="false" ht="23.85" hidden="false" customHeight="false" outlineLevel="0" collapsed="false">
      <c r="A37" s="20"/>
      <c r="B37" s="15" t="s">
        <v>132</v>
      </c>
      <c r="C37" s="15" t="s">
        <v>37</v>
      </c>
      <c r="D37" s="19"/>
      <c r="E37" s="19"/>
      <c r="F37" s="15" t="s">
        <v>133</v>
      </c>
      <c r="G37" s="19"/>
      <c r="H37" s="19"/>
      <c r="I37" s="19"/>
      <c r="J37" s="19"/>
      <c r="K37" s="21" t="s">
        <v>25</v>
      </c>
      <c r="L37" s="19"/>
    </row>
    <row r="38" customFormat="false" ht="23.85" hidden="false" customHeight="false" outlineLevel="0" collapsed="false">
      <c r="A38" s="20"/>
      <c r="B38" s="15" t="s">
        <v>132</v>
      </c>
      <c r="C38" s="15" t="s">
        <v>38</v>
      </c>
      <c r="D38" s="19"/>
      <c r="E38" s="19"/>
      <c r="F38" s="15" t="s">
        <v>133</v>
      </c>
      <c r="G38" s="19"/>
      <c r="H38" s="19"/>
      <c r="I38" s="19"/>
      <c r="J38" s="19"/>
      <c r="K38" s="21" t="s">
        <v>25</v>
      </c>
      <c r="L38" s="19"/>
    </row>
    <row r="39" customFormat="false" ht="23.85" hidden="false" customHeight="false" outlineLevel="0" collapsed="false">
      <c r="A39" s="20"/>
      <c r="B39" s="15" t="s">
        <v>134</v>
      </c>
      <c r="C39" s="15" t="s">
        <v>39</v>
      </c>
      <c r="D39" s="19"/>
      <c r="E39" s="19"/>
      <c r="F39" s="15" t="s">
        <v>135</v>
      </c>
      <c r="G39" s="19"/>
      <c r="H39" s="19"/>
      <c r="I39" s="19"/>
      <c r="J39" s="19"/>
      <c r="K39" s="21" t="s">
        <v>25</v>
      </c>
      <c r="L39" s="19"/>
    </row>
    <row r="40" customFormat="false" ht="35.05" hidden="false" customHeight="false" outlineLevel="0" collapsed="false">
      <c r="A40" s="20"/>
      <c r="B40" s="15" t="s">
        <v>134</v>
      </c>
      <c r="C40" s="15" t="s">
        <v>40</v>
      </c>
      <c r="D40" s="19"/>
      <c r="E40" s="19"/>
      <c r="F40" s="15" t="s">
        <v>133</v>
      </c>
      <c r="G40" s="19"/>
      <c r="H40" s="19"/>
      <c r="I40" s="19"/>
      <c r="J40" s="19"/>
      <c r="K40" s="21" t="s">
        <v>25</v>
      </c>
      <c r="L40" s="19"/>
    </row>
    <row r="41" customFormat="false" ht="15" hidden="false" customHeight="false" outlineLevel="0" collapsed="false">
      <c r="A41" s="20" t="s">
        <v>58</v>
      </c>
      <c r="B41" s="15" t="s">
        <v>128</v>
      </c>
      <c r="C41" s="15" t="s">
        <v>35</v>
      </c>
      <c r="D41" s="19"/>
      <c r="E41" s="19"/>
      <c r="F41" s="15" t="s">
        <v>129</v>
      </c>
      <c r="G41" s="19"/>
      <c r="H41" s="19"/>
      <c r="I41" s="19"/>
      <c r="J41" s="19"/>
      <c r="K41" s="21" t="s">
        <v>25</v>
      </c>
      <c r="L41" s="19"/>
    </row>
    <row r="42" customFormat="false" ht="15" hidden="false" customHeight="false" outlineLevel="0" collapsed="false">
      <c r="A42" s="20"/>
      <c r="B42" s="15" t="s">
        <v>130</v>
      </c>
      <c r="C42" s="15" t="s">
        <v>36</v>
      </c>
      <c r="D42" s="19"/>
      <c r="E42" s="19"/>
      <c r="F42" s="15" t="s">
        <v>131</v>
      </c>
      <c r="G42" s="19"/>
      <c r="H42" s="19"/>
      <c r="I42" s="19"/>
      <c r="J42" s="19"/>
      <c r="K42" s="21" t="s">
        <v>25</v>
      </c>
      <c r="L42" s="19"/>
    </row>
    <row r="43" customFormat="false" ht="23.85" hidden="false" customHeight="false" outlineLevel="0" collapsed="false">
      <c r="A43" s="20"/>
      <c r="B43" s="15" t="s">
        <v>132</v>
      </c>
      <c r="C43" s="15" t="s">
        <v>37</v>
      </c>
      <c r="D43" s="19"/>
      <c r="E43" s="19"/>
      <c r="F43" s="15" t="s">
        <v>133</v>
      </c>
      <c r="G43" s="19"/>
      <c r="H43" s="19"/>
      <c r="I43" s="19"/>
      <c r="J43" s="19"/>
      <c r="K43" s="21" t="s">
        <v>25</v>
      </c>
      <c r="L43" s="19"/>
    </row>
    <row r="44" customFormat="false" ht="23.85" hidden="false" customHeight="false" outlineLevel="0" collapsed="false">
      <c r="A44" s="20"/>
      <c r="B44" s="15" t="s">
        <v>132</v>
      </c>
      <c r="C44" s="15" t="s">
        <v>38</v>
      </c>
      <c r="D44" s="19"/>
      <c r="E44" s="19"/>
      <c r="F44" s="15" t="s">
        <v>133</v>
      </c>
      <c r="G44" s="19"/>
      <c r="H44" s="19"/>
      <c r="I44" s="19"/>
      <c r="J44" s="19"/>
      <c r="K44" s="21" t="s">
        <v>25</v>
      </c>
      <c r="L44" s="19"/>
    </row>
    <row r="45" customFormat="false" ht="23.85" hidden="false" customHeight="false" outlineLevel="0" collapsed="false">
      <c r="A45" s="20"/>
      <c r="B45" s="15" t="s">
        <v>134</v>
      </c>
      <c r="C45" s="15" t="s">
        <v>39</v>
      </c>
      <c r="D45" s="19"/>
      <c r="E45" s="19"/>
      <c r="F45" s="15" t="s">
        <v>135</v>
      </c>
      <c r="G45" s="19"/>
      <c r="H45" s="19"/>
      <c r="I45" s="19"/>
      <c r="J45" s="19"/>
      <c r="K45" s="21" t="s">
        <v>25</v>
      </c>
      <c r="L45" s="19"/>
    </row>
    <row r="46" customFormat="false" ht="35.05" hidden="false" customHeight="false" outlineLevel="0" collapsed="false">
      <c r="A46" s="20"/>
      <c r="B46" s="15" t="s">
        <v>134</v>
      </c>
      <c r="C46" s="15" t="s">
        <v>40</v>
      </c>
      <c r="D46" s="19"/>
      <c r="E46" s="19"/>
      <c r="F46" s="15" t="s">
        <v>133</v>
      </c>
      <c r="G46" s="19"/>
      <c r="H46" s="19"/>
      <c r="I46" s="19"/>
      <c r="J46" s="19"/>
      <c r="K46" s="21" t="s">
        <v>25</v>
      </c>
      <c r="L46" s="19"/>
    </row>
    <row r="47" customFormat="false" ht="15" hidden="false" customHeight="false" outlineLevel="0" collapsed="false">
      <c r="A47" s="20" t="s">
        <v>59</v>
      </c>
      <c r="B47" s="15" t="s">
        <v>128</v>
      </c>
      <c r="C47" s="15" t="s">
        <v>35</v>
      </c>
      <c r="D47" s="19"/>
      <c r="E47" s="19"/>
      <c r="F47" s="15" t="s">
        <v>129</v>
      </c>
      <c r="G47" s="19"/>
      <c r="H47" s="19"/>
      <c r="I47" s="19"/>
      <c r="J47" s="19"/>
      <c r="K47" s="21" t="s">
        <v>25</v>
      </c>
      <c r="L47" s="19"/>
    </row>
    <row r="48" customFormat="false" ht="15" hidden="false" customHeight="false" outlineLevel="0" collapsed="false">
      <c r="A48" s="20"/>
      <c r="B48" s="15" t="s">
        <v>130</v>
      </c>
      <c r="C48" s="15" t="s">
        <v>36</v>
      </c>
      <c r="D48" s="19"/>
      <c r="E48" s="19"/>
      <c r="F48" s="15" t="s">
        <v>131</v>
      </c>
      <c r="G48" s="19"/>
      <c r="H48" s="19"/>
      <c r="I48" s="19"/>
      <c r="J48" s="19"/>
      <c r="K48" s="21" t="s">
        <v>25</v>
      </c>
      <c r="L48" s="19"/>
    </row>
    <row r="49" customFormat="false" ht="23.85" hidden="false" customHeight="false" outlineLevel="0" collapsed="false">
      <c r="A49" s="20"/>
      <c r="B49" s="15" t="s">
        <v>132</v>
      </c>
      <c r="C49" s="15" t="s">
        <v>37</v>
      </c>
      <c r="D49" s="19"/>
      <c r="E49" s="19"/>
      <c r="F49" s="15" t="s">
        <v>133</v>
      </c>
      <c r="G49" s="19"/>
      <c r="H49" s="19"/>
      <c r="I49" s="19"/>
      <c r="J49" s="19"/>
      <c r="K49" s="21" t="s">
        <v>25</v>
      </c>
      <c r="L49" s="19"/>
    </row>
    <row r="50" customFormat="false" ht="23.85" hidden="false" customHeight="false" outlineLevel="0" collapsed="false">
      <c r="A50" s="20"/>
      <c r="B50" s="15" t="s">
        <v>132</v>
      </c>
      <c r="C50" s="15" t="s">
        <v>38</v>
      </c>
      <c r="D50" s="19"/>
      <c r="E50" s="19"/>
      <c r="F50" s="15" t="s">
        <v>133</v>
      </c>
      <c r="G50" s="19"/>
      <c r="H50" s="19"/>
      <c r="I50" s="19"/>
      <c r="J50" s="19"/>
      <c r="K50" s="21" t="s">
        <v>25</v>
      </c>
      <c r="L50" s="19"/>
    </row>
    <row r="51" customFormat="false" ht="23.85" hidden="false" customHeight="false" outlineLevel="0" collapsed="false">
      <c r="A51" s="20"/>
      <c r="B51" s="15" t="s">
        <v>134</v>
      </c>
      <c r="C51" s="15" t="s">
        <v>39</v>
      </c>
      <c r="D51" s="19"/>
      <c r="E51" s="19"/>
      <c r="F51" s="15" t="s">
        <v>135</v>
      </c>
      <c r="G51" s="19"/>
      <c r="H51" s="19"/>
      <c r="I51" s="19"/>
      <c r="J51" s="19"/>
      <c r="K51" s="21" t="s">
        <v>25</v>
      </c>
      <c r="L51" s="19"/>
    </row>
    <row r="52" customFormat="false" ht="35.05" hidden="false" customHeight="false" outlineLevel="0" collapsed="false">
      <c r="A52" s="20"/>
      <c r="B52" s="15" t="s">
        <v>134</v>
      </c>
      <c r="C52" s="15" t="s">
        <v>40</v>
      </c>
      <c r="D52" s="19"/>
      <c r="E52" s="19"/>
      <c r="F52" s="15" t="s">
        <v>133</v>
      </c>
      <c r="G52" s="19"/>
      <c r="H52" s="19"/>
      <c r="I52" s="19"/>
      <c r="J52" s="19"/>
      <c r="K52" s="21" t="s">
        <v>25</v>
      </c>
      <c r="L52" s="19"/>
    </row>
    <row r="53" customFormat="false" ht="15" hidden="false" customHeight="false" outlineLevel="0" collapsed="false">
      <c r="A53" s="20" t="s">
        <v>60</v>
      </c>
      <c r="B53" s="15" t="s">
        <v>128</v>
      </c>
      <c r="C53" s="15" t="s">
        <v>35</v>
      </c>
      <c r="D53" s="19"/>
      <c r="E53" s="19"/>
      <c r="F53" s="15" t="s">
        <v>129</v>
      </c>
      <c r="G53" s="19"/>
      <c r="H53" s="19"/>
      <c r="I53" s="19"/>
      <c r="J53" s="19"/>
      <c r="K53" s="21" t="s">
        <v>25</v>
      </c>
      <c r="L53" s="19"/>
    </row>
    <row r="54" customFormat="false" ht="15" hidden="false" customHeight="false" outlineLevel="0" collapsed="false">
      <c r="A54" s="20"/>
      <c r="B54" s="15" t="s">
        <v>130</v>
      </c>
      <c r="C54" s="15" t="s">
        <v>36</v>
      </c>
      <c r="D54" s="19"/>
      <c r="E54" s="19"/>
      <c r="F54" s="15" t="s">
        <v>131</v>
      </c>
      <c r="G54" s="19"/>
      <c r="H54" s="19"/>
      <c r="I54" s="19"/>
      <c r="J54" s="19"/>
      <c r="K54" s="21" t="s">
        <v>25</v>
      </c>
      <c r="L54" s="19"/>
    </row>
    <row r="55" customFormat="false" ht="23.85" hidden="false" customHeight="false" outlineLevel="0" collapsed="false">
      <c r="A55" s="20"/>
      <c r="B55" s="15" t="s">
        <v>132</v>
      </c>
      <c r="C55" s="15" t="s">
        <v>37</v>
      </c>
      <c r="D55" s="19"/>
      <c r="E55" s="19"/>
      <c r="F55" s="15" t="s">
        <v>133</v>
      </c>
      <c r="G55" s="19"/>
      <c r="H55" s="19"/>
      <c r="I55" s="19"/>
      <c r="J55" s="19"/>
      <c r="K55" s="21" t="s">
        <v>25</v>
      </c>
      <c r="L55" s="19"/>
    </row>
    <row r="56" customFormat="false" ht="23.85" hidden="false" customHeight="false" outlineLevel="0" collapsed="false">
      <c r="A56" s="20"/>
      <c r="B56" s="15" t="s">
        <v>132</v>
      </c>
      <c r="C56" s="15" t="s">
        <v>38</v>
      </c>
      <c r="D56" s="19"/>
      <c r="E56" s="19"/>
      <c r="F56" s="15" t="s">
        <v>133</v>
      </c>
      <c r="G56" s="19"/>
      <c r="H56" s="19"/>
      <c r="I56" s="19"/>
      <c r="J56" s="19"/>
      <c r="K56" s="21" t="s">
        <v>25</v>
      </c>
      <c r="L56" s="19"/>
    </row>
    <row r="57" customFormat="false" ht="23.85" hidden="false" customHeight="false" outlineLevel="0" collapsed="false">
      <c r="A57" s="20"/>
      <c r="B57" s="15" t="s">
        <v>134</v>
      </c>
      <c r="C57" s="15" t="s">
        <v>39</v>
      </c>
      <c r="D57" s="19"/>
      <c r="E57" s="19"/>
      <c r="F57" s="15" t="s">
        <v>135</v>
      </c>
      <c r="G57" s="19"/>
      <c r="H57" s="19"/>
      <c r="I57" s="19"/>
      <c r="J57" s="19"/>
      <c r="K57" s="21" t="s">
        <v>25</v>
      </c>
      <c r="L57" s="19"/>
    </row>
    <row r="58" customFormat="false" ht="35.05" hidden="false" customHeight="false" outlineLevel="0" collapsed="false">
      <c r="A58" s="20"/>
      <c r="B58" s="15" t="s">
        <v>134</v>
      </c>
      <c r="C58" s="15" t="s">
        <v>40</v>
      </c>
      <c r="D58" s="19"/>
      <c r="E58" s="19"/>
      <c r="F58" s="15" t="s">
        <v>133</v>
      </c>
      <c r="G58" s="19"/>
      <c r="H58" s="19"/>
      <c r="I58" s="19"/>
      <c r="J58" s="19"/>
      <c r="K58" s="21" t="s">
        <v>25</v>
      </c>
      <c r="L58" s="19"/>
    </row>
    <row r="59" customFormat="false" ht="15" hidden="false" customHeight="false" outlineLevel="0" collapsed="false">
      <c r="A59" s="20" t="s">
        <v>61</v>
      </c>
      <c r="B59" s="15" t="s">
        <v>128</v>
      </c>
      <c r="C59" s="15" t="s">
        <v>35</v>
      </c>
      <c r="D59" s="19"/>
      <c r="E59" s="19"/>
      <c r="F59" s="15" t="s">
        <v>129</v>
      </c>
      <c r="G59" s="19"/>
      <c r="H59" s="19"/>
      <c r="I59" s="19"/>
      <c r="J59" s="19"/>
      <c r="K59" s="21" t="s">
        <v>25</v>
      </c>
      <c r="L59" s="19"/>
    </row>
    <row r="60" customFormat="false" ht="15" hidden="false" customHeight="false" outlineLevel="0" collapsed="false">
      <c r="A60" s="20"/>
      <c r="B60" s="15" t="s">
        <v>130</v>
      </c>
      <c r="C60" s="15" t="s">
        <v>36</v>
      </c>
      <c r="D60" s="19"/>
      <c r="E60" s="19"/>
      <c r="F60" s="15" t="s">
        <v>131</v>
      </c>
      <c r="G60" s="19"/>
      <c r="H60" s="19"/>
      <c r="I60" s="19"/>
      <c r="J60" s="19"/>
      <c r="K60" s="21" t="s">
        <v>25</v>
      </c>
      <c r="L60" s="19"/>
    </row>
    <row r="61" customFormat="false" ht="23.85" hidden="false" customHeight="false" outlineLevel="0" collapsed="false">
      <c r="A61" s="20"/>
      <c r="B61" s="15" t="s">
        <v>132</v>
      </c>
      <c r="C61" s="15" t="s">
        <v>37</v>
      </c>
      <c r="D61" s="19"/>
      <c r="E61" s="19"/>
      <c r="F61" s="15" t="s">
        <v>133</v>
      </c>
      <c r="G61" s="19"/>
      <c r="H61" s="19"/>
      <c r="I61" s="19"/>
      <c r="J61" s="19"/>
      <c r="K61" s="21" t="s">
        <v>25</v>
      </c>
      <c r="L61" s="19"/>
    </row>
    <row r="62" customFormat="false" ht="23.85" hidden="false" customHeight="false" outlineLevel="0" collapsed="false">
      <c r="A62" s="20"/>
      <c r="B62" s="15" t="s">
        <v>132</v>
      </c>
      <c r="C62" s="15" t="s">
        <v>38</v>
      </c>
      <c r="D62" s="19"/>
      <c r="E62" s="19"/>
      <c r="F62" s="15" t="s">
        <v>133</v>
      </c>
      <c r="G62" s="19"/>
      <c r="H62" s="19"/>
      <c r="I62" s="19"/>
      <c r="J62" s="19"/>
      <c r="K62" s="21" t="s">
        <v>25</v>
      </c>
      <c r="L62" s="19"/>
    </row>
    <row r="63" customFormat="false" ht="23.85" hidden="false" customHeight="false" outlineLevel="0" collapsed="false">
      <c r="A63" s="20"/>
      <c r="B63" s="15" t="s">
        <v>134</v>
      </c>
      <c r="C63" s="15" t="s">
        <v>39</v>
      </c>
      <c r="D63" s="19"/>
      <c r="E63" s="19"/>
      <c r="F63" s="15" t="s">
        <v>135</v>
      </c>
      <c r="G63" s="19"/>
      <c r="H63" s="19"/>
      <c r="I63" s="19"/>
      <c r="J63" s="19"/>
      <c r="K63" s="21" t="s">
        <v>25</v>
      </c>
      <c r="L63" s="19"/>
    </row>
    <row r="64" customFormat="false" ht="35.05" hidden="false" customHeight="false" outlineLevel="0" collapsed="false">
      <c r="A64" s="20"/>
      <c r="B64" s="15" t="s">
        <v>134</v>
      </c>
      <c r="C64" s="15" t="s">
        <v>40</v>
      </c>
      <c r="D64" s="19"/>
      <c r="E64" s="19"/>
      <c r="F64" s="15" t="s">
        <v>133</v>
      </c>
      <c r="G64" s="19"/>
      <c r="H64" s="19"/>
      <c r="I64" s="19"/>
      <c r="J64" s="19"/>
      <c r="K64" s="21" t="s">
        <v>25</v>
      </c>
      <c r="L64" s="19"/>
    </row>
  </sheetData>
  <mergeCells count="12">
    <mergeCell ref="A1:L1"/>
    <mergeCell ref="A2:L2"/>
    <mergeCell ref="A5:A10"/>
    <mergeCell ref="A11:A16"/>
    <mergeCell ref="A17:A22"/>
    <mergeCell ref="A23:A28"/>
    <mergeCell ref="A29:A34"/>
    <mergeCell ref="A35:A40"/>
    <mergeCell ref="A41:A46"/>
    <mergeCell ref="A47:A52"/>
    <mergeCell ref="A53:A58"/>
    <mergeCell ref="A59:A64"/>
  </mergeCells>
  <conditionalFormatting sqref="K5:K6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"Pendente"</formula>
    </cfRule>
    <cfRule type="cellIs" priority="4" operator="equal" aboveAverage="0" equalAverage="0" bottom="0" percent="0" rank="0" text="" dxfId="2">
      <formula>"Falhou"</formula>
    </cfRule>
  </conditionalFormatting>
  <dataValidations count="1">
    <dataValidation allowBlank="true" errorStyle="stop" operator="between" showDropDown="false" showErrorMessage="false" showInputMessage="false" sqref="K5:K64" type="list">
      <formula1>"OK,Pendente,Falhou,N/A"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5" min="4" style="0" width="34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136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137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4" t="s">
        <v>138</v>
      </c>
      <c r="B4" s="14" t="s">
        <v>139</v>
      </c>
      <c r="C4" s="14" t="s">
        <v>140</v>
      </c>
      <c r="D4" s="14" t="s">
        <v>141</v>
      </c>
      <c r="E4" s="14" t="s">
        <v>142</v>
      </c>
      <c r="F4" s="14" t="s">
        <v>143</v>
      </c>
      <c r="G4" s="14" t="s">
        <v>67</v>
      </c>
      <c r="H4" s="14" t="s">
        <v>66</v>
      </c>
    </row>
    <row r="5" customFormat="false" ht="23.85" hidden="false" customHeight="false" outlineLevel="0" collapsed="false">
      <c r="A5" s="15" t="s">
        <v>144</v>
      </c>
      <c r="B5" s="15" t="s">
        <v>145</v>
      </c>
      <c r="C5" s="15" t="s">
        <v>146</v>
      </c>
      <c r="D5" s="15" t="s">
        <v>147</v>
      </c>
      <c r="E5" s="22"/>
      <c r="F5" s="15" t="s">
        <v>148</v>
      </c>
      <c r="G5" s="22"/>
      <c r="H5" s="15" t="s">
        <v>25</v>
      </c>
    </row>
    <row r="6" customFormat="false" ht="23.85" hidden="false" customHeight="false" outlineLevel="0" collapsed="false">
      <c r="A6" s="15" t="s">
        <v>149</v>
      </c>
      <c r="B6" s="15" t="s">
        <v>150</v>
      </c>
      <c r="C6" s="15" t="s">
        <v>151</v>
      </c>
      <c r="D6" s="15" t="s">
        <v>152</v>
      </c>
      <c r="E6" s="22"/>
      <c r="F6" s="15" t="s">
        <v>153</v>
      </c>
      <c r="G6" s="22"/>
      <c r="H6" s="15" t="s">
        <v>25</v>
      </c>
    </row>
    <row r="7" customFormat="false" ht="35.05" hidden="false" customHeight="false" outlineLevel="0" collapsed="false">
      <c r="A7" s="15" t="s">
        <v>154</v>
      </c>
      <c r="B7" s="15" t="s">
        <v>155</v>
      </c>
      <c r="C7" s="15" t="s">
        <v>156</v>
      </c>
      <c r="D7" s="15" t="s">
        <v>157</v>
      </c>
      <c r="E7" s="22"/>
      <c r="F7" s="15" t="s">
        <v>158</v>
      </c>
      <c r="G7" s="22"/>
      <c r="H7" s="15" t="s">
        <v>25</v>
      </c>
    </row>
    <row r="8" customFormat="false" ht="15" hidden="false" customHeight="false" outlineLevel="0" collapsed="false">
      <c r="A8" s="15" t="n">
        <v>4</v>
      </c>
      <c r="B8" s="19"/>
      <c r="C8" s="19"/>
      <c r="D8" s="19"/>
      <c r="E8" s="19"/>
      <c r="F8" s="19"/>
      <c r="G8" s="19"/>
      <c r="H8" s="19"/>
    </row>
    <row r="9" customFormat="false" ht="15" hidden="false" customHeight="false" outlineLevel="0" collapsed="false">
      <c r="A9" s="15" t="n">
        <v>5</v>
      </c>
      <c r="B9" s="19"/>
      <c r="C9" s="19"/>
      <c r="D9" s="19"/>
      <c r="E9" s="19"/>
      <c r="F9" s="19"/>
      <c r="G9" s="19"/>
      <c r="H9" s="19"/>
    </row>
    <row r="10" customFormat="false" ht="15" hidden="false" customHeight="false" outlineLevel="0" collapsed="false">
      <c r="A10" s="15" t="n">
        <v>6</v>
      </c>
      <c r="B10" s="19"/>
      <c r="C10" s="19"/>
      <c r="D10" s="19"/>
      <c r="E10" s="19"/>
      <c r="F10" s="19"/>
      <c r="G10" s="19"/>
      <c r="H10" s="19"/>
    </row>
    <row r="11" customFormat="false" ht="15" hidden="false" customHeight="false" outlineLevel="0" collapsed="false">
      <c r="A11" s="15" t="n">
        <v>7</v>
      </c>
      <c r="B11" s="19"/>
      <c r="C11" s="19"/>
      <c r="D11" s="19"/>
      <c r="E11" s="19"/>
      <c r="F11" s="19"/>
      <c r="G11" s="19"/>
      <c r="H11" s="19"/>
    </row>
    <row r="12" customFormat="false" ht="15" hidden="false" customHeight="false" outlineLevel="0" collapsed="false">
      <c r="A12" s="15" t="n">
        <v>8</v>
      </c>
      <c r="B12" s="19"/>
      <c r="C12" s="19"/>
      <c r="D12" s="19"/>
      <c r="E12" s="19"/>
      <c r="F12" s="19"/>
      <c r="G12" s="19"/>
      <c r="H12" s="19"/>
    </row>
    <row r="13" customFormat="false" ht="15" hidden="false" customHeight="false" outlineLevel="0" collapsed="false">
      <c r="A13" s="15" t="n">
        <v>9</v>
      </c>
      <c r="B13" s="19"/>
      <c r="C13" s="19"/>
      <c r="D13" s="19"/>
      <c r="E13" s="19"/>
      <c r="F13" s="19"/>
      <c r="G13" s="19"/>
      <c r="H13" s="19"/>
    </row>
    <row r="14" customFormat="false" ht="15" hidden="false" customHeight="false" outlineLevel="0" collapsed="false">
      <c r="A14" s="15" t="n">
        <v>10</v>
      </c>
      <c r="B14" s="19"/>
      <c r="C14" s="19"/>
      <c r="D14" s="19"/>
      <c r="E14" s="19"/>
      <c r="F14" s="19"/>
      <c r="G14" s="19"/>
      <c r="H14" s="19"/>
    </row>
    <row r="15" customFormat="false" ht="15" hidden="false" customHeight="false" outlineLevel="0" collapsed="false">
      <c r="A15" s="15" t="n">
        <v>11</v>
      </c>
      <c r="B15" s="19"/>
      <c r="C15" s="19"/>
      <c r="D15" s="19"/>
      <c r="E15" s="19"/>
      <c r="F15" s="19"/>
      <c r="G15" s="19"/>
      <c r="H15" s="19"/>
    </row>
    <row r="16" customFormat="false" ht="15" hidden="false" customHeight="false" outlineLevel="0" collapsed="false">
      <c r="A16" s="15" t="n">
        <v>12</v>
      </c>
      <c r="B16" s="19"/>
      <c r="C16" s="19"/>
      <c r="D16" s="19"/>
      <c r="E16" s="19"/>
      <c r="F16" s="19"/>
      <c r="G16" s="19"/>
      <c r="H16" s="19"/>
    </row>
    <row r="17" customFormat="false" ht="15" hidden="false" customHeight="false" outlineLevel="0" collapsed="false">
      <c r="A17" s="15" t="n">
        <v>13</v>
      </c>
      <c r="B17" s="19"/>
      <c r="C17" s="19"/>
      <c r="D17" s="19"/>
      <c r="E17" s="19"/>
      <c r="F17" s="19"/>
      <c r="G17" s="19"/>
      <c r="H17" s="19"/>
    </row>
    <row r="18" customFormat="false" ht="15" hidden="false" customHeight="false" outlineLevel="0" collapsed="false">
      <c r="A18" s="15" t="n">
        <v>14</v>
      </c>
      <c r="B18" s="19"/>
      <c r="C18" s="19"/>
      <c r="D18" s="19"/>
      <c r="E18" s="19"/>
      <c r="F18" s="19"/>
      <c r="G18" s="19"/>
      <c r="H18" s="19"/>
    </row>
    <row r="19" customFormat="false" ht="15" hidden="false" customHeight="false" outlineLevel="0" collapsed="false">
      <c r="A19" s="15" t="n">
        <v>15</v>
      </c>
      <c r="B19" s="19"/>
      <c r="C19" s="19"/>
      <c r="D19" s="19"/>
      <c r="E19" s="19"/>
      <c r="F19" s="19"/>
      <c r="G19" s="19"/>
      <c r="H19" s="19"/>
    </row>
    <row r="20" customFormat="false" ht="15" hidden="false" customHeight="false" outlineLevel="0" collapsed="false">
      <c r="A20" s="15" t="n">
        <v>16</v>
      </c>
      <c r="B20" s="19"/>
      <c r="C20" s="19"/>
      <c r="D20" s="19"/>
      <c r="E20" s="19"/>
      <c r="F20" s="19"/>
      <c r="G20" s="19"/>
      <c r="H20" s="19"/>
    </row>
    <row r="21" customFormat="false" ht="15" hidden="false" customHeight="false" outlineLevel="0" collapsed="false">
      <c r="A21" s="15" t="n">
        <v>17</v>
      </c>
      <c r="B21" s="19"/>
      <c r="C21" s="19"/>
      <c r="D21" s="19"/>
      <c r="E21" s="19"/>
      <c r="F21" s="19"/>
      <c r="G21" s="19"/>
      <c r="H21" s="19"/>
    </row>
    <row r="22" customFormat="false" ht="15" hidden="false" customHeight="false" outlineLevel="0" collapsed="false">
      <c r="A22" s="15" t="n">
        <v>18</v>
      </c>
      <c r="B22" s="19"/>
      <c r="C22" s="19"/>
      <c r="D22" s="19"/>
      <c r="E22" s="19"/>
      <c r="F22" s="19"/>
      <c r="G22" s="19"/>
      <c r="H22" s="19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H5:H22" type="list">
      <formula1>"Pendente,Em análise,Aplicado no .md,Descartado"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2026-08-01T13:53:31Z</dcterms:created>
  <dc:creator>openpyxl</dc:creator>
  <dc:description/>
  <dc:language>en-US</dc:language>
  <cp:lastModifiedBy/>
  <dcterms:modified xsi:type="dcterms:W3CDTF">2026-08-01T13:53:32Z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